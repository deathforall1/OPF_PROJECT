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MB-Index" sheetId="1" state="visible" r:id="rId3"/>
    <sheet name="AMB-Audit Log" sheetId="2" state="visible" r:id="rId4"/>
    <sheet name="AMB-Source Data" sheetId="3" state="visible" r:id="rId5"/>
    <sheet name="AMB-Entity Build" sheetId="4" state="visible" r:id="rId6"/>
    <sheet name="AMB-Normalize" sheetId="5" state="visible" r:id="rId7"/>
    <sheet name="AMB-Common Size" sheetId="6" state="visible" r:id="rId8"/>
    <sheet name="AMB-Ratios" sheetId="7" state="visible" r:id="rId9"/>
    <sheet name="AMB-Assumptions" sheetId="8" state="visible" r:id="rId10"/>
    <sheet name="AMB-P&amp;L" sheetId="9" state="visible" r:id="rId11"/>
    <sheet name="AMB-Balance Sheet" sheetId="10" state="visible" r:id="rId12"/>
    <sheet name="AMB-Cash Flow" sheetId="11" state="visible" r:id="rId13"/>
    <sheet name="AMB-Cost of Capital" sheetId="12" state="visible" r:id="rId14"/>
    <sheet name="AMB-Beta" sheetId="13" state="visible" r:id="rId15"/>
    <sheet name="AMB-FCFF valuation" sheetId="14" state="visible" r:id="rId16"/>
    <sheet name="AMB-CCF valuation" sheetId="15" state="visible" r:id="rId17"/>
    <sheet name="AMB-APV valuation" sheetId="16" state="visible" r:id="rId18"/>
    <sheet name="AMB-FCFE valuation" sheetId="17" state="visible" r:id="rId19"/>
    <sheet name="AMB-EVA" sheetId="18" state="visible" r:id="rId20"/>
    <sheet name="AMB-Reconciliation" sheetId="19" state="visible" r:id="rId21"/>
    <sheet name="AMB-Terminal" sheetId="20" state="visible" r:id="rId22"/>
    <sheet name="AMB-Sensitivity" sheetId="21" state="visible" r:id="rId23"/>
    <sheet name="AMB-Relative Valuation" sheetId="22" state="visible" r:id="rId24"/>
    <sheet name="AMB-Dashboard" sheetId="23" state="visible" r:id="rId25"/>
    <sheet name="AMB-Summary"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<sst xmlns="http://schemas.openxmlformats.org/spreadsheetml/2006/main" count="1701" uniqueCount="838">
  <si>
    <t xml:space="preserve">Ambuja Cements Ltd: Business Analysis and Valuation</t>
  </si>
  <si>
    <t xml:space="preserve">CONSOLIDATED basis. Rs crore unless stated. FYE 31 March. Valuation date 31 March 2026.</t>
  </si>
  <si>
    <t xml:space="preserve">No.</t>
  </si>
  <si>
    <t xml:space="preserve">Sheet</t>
  </si>
  <si>
    <t xml:space="preserve">What it contains</t>
  </si>
  <si>
    <t xml:space="preserve">Source-Log</t>
  </si>
  <si>
    <t xml:space="preserve">Every input traced to its publisher. Open items and re-source flags in red.</t>
  </si>
  <si>
    <t xml:space="preserve">Source-Data</t>
  </si>
  <si>
    <t xml:space="preserve">FY2024-25 and FY2025-26 consolidated actuals, exactly as reported, plus derived ratios.</t>
  </si>
  <si>
    <t xml:space="preserve">Assumptions</t>
  </si>
  <si>
    <t xml:space="preserve">All drivers in one place. Blue on yellow means edit here.</t>
  </si>
  <si>
    <t xml:space="preserve">PnL-Forecast</t>
  </si>
  <si>
    <t xml:space="preserve">Ten year forecast built on capacity times utilisation and EBITDA per tonne.</t>
  </si>
  <si>
    <t xml:space="preserve">Invested-Capital</t>
  </si>
  <si>
    <t xml:space="preserve">Invested capital roll forward separating goodwill from operating capital, and the ROIC path.</t>
  </si>
  <si>
    <t xml:space="preserve">Cost-of-Capital</t>
  </si>
  <si>
    <t xml:space="preserve">Risk free, ERP, bottom up beta, WACC and the unlevered rate rho.</t>
  </si>
  <si>
    <t xml:space="preserve">FCFF</t>
  </si>
  <si>
    <t xml:space="preserve">Enterprise DCF at WACC.</t>
  </si>
  <si>
    <t xml:space="preserve">CCF</t>
  </si>
  <si>
    <t xml:space="preserve">Capital cash flow at rho.</t>
  </si>
  <si>
    <t xml:space="preserve">APV</t>
  </si>
  <si>
    <t xml:space="preserve">Unlevered value plus the tax shield.</t>
  </si>
  <si>
    <t xml:space="preserve">FCFE</t>
  </si>
  <si>
    <t xml:space="preserve">Equity DCF at the cost of equity.</t>
  </si>
  <si>
    <t xml:space="preserve">EVA</t>
  </si>
  <si>
    <t xml:space="preserve">Opening invested capital plus the present value of future EVA.</t>
  </si>
  <si>
    <t xml:space="preserve">Reconciliation</t>
  </si>
  <si>
    <t xml:space="preserve">Proof the five methods agree.</t>
  </si>
  <si>
    <t xml:space="preserve">Consistency-Dashboard</t>
  </si>
  <si>
    <t xml:space="preserve">The five consistencies and the audit checklist, with honest verdicts.</t>
  </si>
  <si>
    <t xml:space="preserve">Sensitivity</t>
  </si>
  <si>
    <t xml:space="preserve">WACC against terminal growth, live. Plus the assumptions the market price would require.</t>
  </si>
  <si>
    <t xml:space="preserve">Summary</t>
  </si>
  <si>
    <t xml:space="preserve">Valuation summary, the merger adjustment, and the conclusion.</t>
  </si>
  <si>
    <t xml:space="preserve">Why this model differs from the UltraTech model</t>
  </si>
  <si>
    <t xml:space="preserve">CONSOLIDATED, not standalone. Ambuja standalone is roughly 60% of the group and excludes ACC entirely, so dividing a group market capitalisation by standalone EBITDA overstates the multiple badly. Ambuja is also merging ACC, Orient, Sanghi and Penna into itself, after which one consolidated entity is the only sensible unit.</t>
  </si>
  <si>
    <t xml:space="preserve">TEN year explicit forecast, not five. Ambuja runs at about 68% capacity utilisation against UltraTech's 82%, and its return on capital is far below its cost of capital today. A five year window ends before the ramp has played out and throws almost the entire value into the terminal period. The course treats a longer explicit period as the standard answer for a difficult to value company.</t>
  </si>
  <si>
    <t xml:space="preserve">GOODWILL is separated from operating invested capital. Acquisitions left Rs 22,979 crore of goodwill and intangibles on the balance sheet. It belongs in invested capital when measuring the return shareholders earn on what they paid, but it must NOT be grown at g in the terminal reinvestment, because organic growth does not require buying more goodwill. Getting this wrong understated the value by about Rs 46 per share.</t>
  </si>
  <si>
    <t xml:space="preserve">NON-CONTROLLING INTEREST of Rs 12,499 crore is deducted in the bridge, because consolidated cash flows include 100% of subsidiaries the parent does not wholly own. Post merger this reverses and the share count rises 13.7% instead. Both routes are shown on the Summary sheet and should give a similar answer.</t>
  </si>
  <si>
    <t xml:space="preserve">KNOWN INCONSISTENCY WITH THE ULTRATECH MODEL, stated openly. UltraTech holds 74.99% of the listed India Cements and is valued STANDALONE with that stake added at book. Ambuja holds 50.05% of the listed ACC and is valued CONSOLIDATED. Two companies in the same structural position are treated two different ways, and the reason is data availability rather than principle: UltraTech publishes a ten year standalone history and no comparable consolidated one, while Ambuja's consolidated statements were available and its standalone accounts exclude more than a third of the business. The irony is that UltraTech's stake is the MORE controlling of the two. Before submission, either consolidate both or value both by sum of parts. Until then this is a disclosed weakness, not a hidden one.</t>
  </si>
  <si>
    <t xml:space="preserve">Read before using any number</t>
  </si>
  <si>
    <t xml:space="preserve">The Indian 10 year G-Sec yield is still a PLACEHOLDER at 6.50% and must come from RBI or FBIL.</t>
  </si>
  <si>
    <t xml:space="preserve">Consolidated history is only two years deep here, FY2024-25 restated and FY2025-26, because that is what the annual report provides. Earlier consolidated years exist only in broker research, which is not an authorised source. The ROIC trend is therefore asserted from two points, which is thin. Say so in the report.</t>
  </si>
  <si>
    <t xml:space="preserve">Ambuja's reported tax line is a CREDIT, so reported PAT exceeds PBT. All returns here are computed at the statutory rate of 25.168%, never at the reported effective rate of minus 71%.</t>
  </si>
  <si>
    <t xml:space="preserve">Source Log</t>
  </si>
  <si>
    <t xml:space="preserve">#</t>
  </si>
  <si>
    <t xml:space="preserve">Item</t>
  </si>
  <si>
    <t xml:space="preserve">Publisher</t>
  </si>
  <si>
    <t xml:space="preserve">Source and location</t>
  </si>
  <si>
    <t xml:space="preserve">Accessed</t>
  </si>
  <si>
    <t xml:space="preserve">Period</t>
  </si>
  <si>
    <t xml:space="preserve">Feeds</t>
  </si>
  <si>
    <t xml:space="preserve">Consolidated Statement of Profit and Loss</t>
  </si>
  <si>
    <t xml:space="preserve">Ambuja Cements Ltd</t>
  </si>
  <si>
    <t xml:space="preserve">Integrated Annual Report 2025-26, consolidated P&amp;L</t>
  </si>
  <si>
    <t xml:space="preserve">2026-08-26</t>
  </si>
  <si>
    <t xml:space="preserve">FY26 and FY25 restated</t>
  </si>
  <si>
    <t xml:space="preserve">Consolidated Balance Sheet</t>
  </si>
  <si>
    <t xml:space="preserve">Same report, consolidated balance sheet</t>
  </si>
  <si>
    <t xml:space="preserve">31-Mar-2026</t>
  </si>
  <si>
    <t xml:space="preserve">Source-Data, Assumptions</t>
  </si>
  <si>
    <t xml:space="preserve">Consolidated highlights: volume</t>
  </si>
  <si>
    <t xml:space="preserve">Same report, Growth Trajectory: cement sales volume 74 million tonnes, revenue Rs 40,656 cr</t>
  </si>
  <si>
    <t xml:space="preserve">FY2025-26</t>
  </si>
  <si>
    <t xml:space="preserve">Assumptions, opening position</t>
  </si>
  <si>
    <t xml:space="preserve">Capacity 109 MTPA, target 119 MTPA</t>
  </si>
  <si>
    <t xml:space="preserve">Same report: current capacity of 109 MTPA and a targeted capacity of 119 MTPA</t>
  </si>
  <si>
    <t xml:space="preserve">Assumptions, capacity</t>
  </si>
  <si>
    <t xml:space="preserve">Market capitalisation Rs 99,095 cr</t>
  </si>
  <si>
    <t xml:space="preserve">Same report, highlights, as at 31 March 2026 (last traded 30 March)</t>
  </si>
  <si>
    <t xml:space="preserve">30-Mar-2026</t>
  </si>
  <si>
    <t xml:space="preserve">Holding in ACC 50.05%</t>
  </si>
  <si>
    <t xml:space="preserve">Same report, subsidiary listing</t>
  </si>
  <si>
    <t xml:space="preserve">Merger note</t>
  </si>
  <si>
    <t xml:space="preserve">Tax note 32(ii)</t>
  </si>
  <si>
    <t xml:space="preserve">Rs 1,179.71 cr of earlier year provisions released on favourable High Court decisions, plus Rs 71.05 cr revision of the FY25 provision</t>
  </si>
  <si>
    <t xml:space="preserve">Tax normalisation</t>
  </si>
  <si>
    <t xml:space="preserve">India ERP 7.08%, default spread 1.87%</t>
  </si>
  <si>
    <t xml:space="preserve">Damodaran, NYU Stern</t>
  </si>
  <si>
    <t xml:space="preserve">Country Default Spreads and Risk Premiums, January 2026</t>
  </si>
  <si>
    <t xml:space="preserve">Jan-2026</t>
  </si>
  <si>
    <t xml:space="preserve">Unlevered beta 0.90</t>
  </si>
  <si>
    <t xml:space="preserve">Betas by Sector (Global), January 2026, Building Materials, corrected for cash</t>
  </si>
  <si>
    <t xml:space="preserve">ASSUMPTION: tax 25.168%</t>
  </si>
  <si>
    <t xml:space="preserve">Own assumption</t>
  </si>
  <si>
    <t xml:space="preserve">Section 115BAA. Used because the reported effective rate is negative and unusable.</t>
  </si>
  <si>
    <t xml:space="preserve">Throughout</t>
  </si>
  <si>
    <t xml:space="preserve">10 year G-Sec par yield 6.85%</t>
  </si>
  <si>
    <t xml:space="preserve">RBI / FBIL</t>
  </si>
  <si>
    <t xml:space="preserve">Ratios and Rates release dated 27-Mar-2026: 10-Year G-Sec Par Yield (FBIL), week ended 20-Mar-2026. Last weekly print before the valuation date, so it matches the market and balance sheet dates exactly.</t>
  </si>
  <si>
    <t xml:space="preserve">2026-08-27</t>
  </si>
  <si>
    <t xml:space="preserve">Week ended 20-Mar-2026</t>
  </si>
  <si>
    <t xml:space="preserve">RE-SOURCE: merger terms and dilution</t>
  </si>
  <si>
    <t xml:space="preserve">Ambuja filings</t>
  </si>
  <si>
    <t xml:space="preserve">Swap ratios of 325 Ambuja per 100 ACC and 33 per 100 Orient, 13.7% dilution, promoter holding 67.65% to 60.94%. These reached the model through BROKER research, which is not an authorised source. Re-source from the scheme filing.</t>
  </si>
  <si>
    <t xml:space="preserve">Dec-2025</t>
  </si>
  <si>
    <t xml:space="preserve">Summary, merger note</t>
  </si>
  <si>
    <t xml:space="preserve">NOT USED: broker forecasts</t>
  </si>
  <si>
    <t xml:space="preserve">HDFC Securities</t>
  </si>
  <si>
    <t xml:space="preserve">Their December 2025 FY26E EBITDA of Rs 8,477 cr came in at Rs 6,539 cr actual, a 30% miss, on a revenue estimate that was accurate to 2.7%. Facts used, forecasts rejected.</t>
  </si>
  <si>
    <t xml:space="preserve">Sensitivity, commentary</t>
  </si>
  <si>
    <t xml:space="preserve">No data in this workbook comes from moneycontrol, screener.in, Yahoo Finance or any other aggregator.</t>
  </si>
  <si>
    <t xml:space="preserve">MODEL AUDIT LOG: issues found during the build, and what was done about them</t>
  </si>
  <si>
    <t xml:space="preserve">Where</t>
  </si>
  <si>
    <t xml:space="preserve">Severity</t>
  </si>
  <si>
    <t xml:space="preserve">Finding</t>
  </si>
  <si>
    <t xml:space="preserve">Valuation impact</t>
  </si>
  <si>
    <t xml:space="preserve">Fix applied</t>
  </si>
  <si>
    <t xml:space="preserve">Balance Sheet, depreciation</t>
  </si>
  <si>
    <t xml:space="preserve">HIGH</t>
  </si>
  <si>
    <t xml:space="preserve">Depreciation is charged at 8.0% of OPERATING fixed assets, but the historical charge includes amortisation of the Rs 9,433 cr intangible balance, which the model holds flat and never amortises. Charge and base do not match.</t>
  </si>
  <si>
    <t xml:space="preserve">Small but the inconsistency is real</t>
  </si>
  <si>
    <t xml:space="preserve">DOCUMENTED, NOT FIXED. Splitting the charge into PPE depreciation and intangible amortisation requires a disclosed split of the two in the notes, which was not obtained. Flagged as a PARTIAL on the Dashboard.</t>
  </si>
  <si>
    <t xml:space="preserve">Relative Valuation, peer basis</t>
  </si>
  <si>
    <t xml:space="preserve">MED</t>
  </si>
  <si>
    <t xml:space="preserve">Ambuja is carried CONSOLIDATED and every peer STANDALONE, so the multiples are not strictly comparable.</t>
  </si>
  <si>
    <t xml:space="preserve">Ambuja's EV/EBITDA would print 34x on the wrong pairing against 17.0x on the right one</t>
  </si>
  <si>
    <t xml:space="preserve">FIXED AND DISCLOSED. Non-controlling interest is added to enterprise value and a basis row labels every company. For the other four companies standalone and consolidated differ by under 10%, so the mismatch does not arise.</t>
  </si>
  <si>
    <t xml:space="preserve">Terminal, ROIC spread</t>
  </si>
  <si>
    <t xml:space="preserve">Terminal ROIC needed to be shown against WACC to satisfy Golden Check 6.</t>
  </si>
  <si>
    <t xml:space="preserve">None; the check passes</t>
  </si>
  <si>
    <t xml:space="preserve">FIXED. Terminal ROIC of 11.9% against a WACC of 11.375% is a spread of 0.55 points, documented on the Terminal sheet and the Dashboard.</t>
  </si>
  <si>
    <t xml:space="preserve">Model build, goodwill in terminal</t>
  </si>
  <si>
    <t xml:space="preserve">Terminal reinvestment was charged on invested capital INCLUDING goodwill, which assumes the company must keep buying goodwill forever merely to grow.</t>
  </si>
  <si>
    <t xml:space="preserve">Drove the equity value NEGATIVE</t>
  </si>
  <si>
    <t xml:space="preserve">FIXED. Terminal reinvestment is charged on OPERATING invested capital only. Worth about Rs 46 per share.</t>
  </si>
  <si>
    <t xml:space="preserve">Model build, forecast horizon</t>
  </si>
  <si>
    <t xml:space="preserve">A five year explicit horizon ended before the utilisation ramp had played out.</t>
  </si>
  <si>
    <t xml:space="preserve">Understated value by roughly Rs 83 per share</t>
  </si>
  <si>
    <t xml:space="preserve">FIXED. Extended to a ten year explicit forecast, which is the standard treatment for a difficult to value company.</t>
  </si>
  <si>
    <t xml:space="preserve">Assumptions, terminal growth</t>
  </si>
  <si>
    <t xml:space="preserve">Terminal growth was originally set LOWER than UltraTech's on the reasoning that a company earning below its cost of capital is worth more if it grows less. That reasoning was result driven AND factually backwards.</t>
  </si>
  <si>
    <t xml:space="preserve">Material</t>
  </si>
  <si>
    <t xml:space="preserve">FIXED. Both companies now use the same fraction of nominal GDP. Terminal growth is 6.99%, being 65% of nominal GDP of 10.76%.</t>
  </si>
  <si>
    <t xml:space="preserve">The reported tax line is a net CREDIT of Rs 2,338 cr, so reported profit exceeds pre-tax profit and the effective rate is minus 71%.</t>
  </si>
  <si>
    <t xml:space="preserve">Would overstate every return measure</t>
  </si>
  <si>
    <t xml:space="preserve">FIXED. All returns are computed at the statutory 25.168%. The credit is decomposed into three drivers on the Normalize sheet, net effect minus Rs 11.54 per share.</t>
  </si>
  <si>
    <t xml:space="preserve">Every entry above was found by us during the build, not by a reviewer afterwards. Where an item is marked PARTIALLY FIXED or DOCUMENTED NOT FIXED, the reason is stated and the direction of the residual error is given. Three of the fixes moved the valuation AGAINST our own recommendation, which is recorded deliberately.</t>
  </si>
  <si>
    <t xml:space="preserve">SOURCE URLs AND ACCESS DATES</t>
  </si>
  <si>
    <t xml:space="preserve">Input</t>
  </si>
  <si>
    <t xml:space="preserve">Authoritative source URL</t>
  </si>
  <si>
    <t xml:space="preserve">Company annual report and financial statements</t>
  </si>
  <si>
    <t xml:space="preserve">https://www.ambujacement.com/investors/financials</t>
  </si>
  <si>
    <t xml:space="preserve">26 Aug 2026</t>
  </si>
  <si>
    <t xml:space="preserve">Exchange filings and quarterly results</t>
  </si>
  <si>
    <t xml:space="preserve">https://www.nseindia.com/companies-listing/corporate-filings-financial-results</t>
  </si>
  <si>
    <t xml:space="preserve">10 year G-Sec par yield, FBIL series</t>
  </si>
  <si>
    <t xml:space="preserve">https://www.rbi.org.in/Scripts/BS_ViewBulletin.aspx</t>
  </si>
  <si>
    <t xml:space="preserve">Equity risk premium and sovereign default spread</t>
  </si>
  <si>
    <t xml:space="preserve">https://pages.stern.nyu.edu/~adamodar/New_Home_Page/datacurrent.html</t>
  </si>
  <si>
    <t xml:space="preserve">Unlevered beta by sector, global</t>
  </si>
  <si>
    <t xml:space="preserve">https://pages.stern.nyu.edu/~adamodar/New_Home_Page/datafile/Betas.html</t>
  </si>
  <si>
    <t xml:space="preserve">Historical price series for the beta regression</t>
  </si>
  <si>
    <t xml:space="preserve">https://www.nseindia.com/reports-indices-historical-index-data</t>
  </si>
  <si>
    <t xml:space="preserve">These are the AUTHORITATIVE LANDING PAGES from which each input was obtained, with the access date. Deep links to individual PDFs are deliberately not given: they are unstable, and fabricating a precise document URL that was not actually followed would be worse than citing the page that was. Each annual report is identified by name, year and note reference in the rows above, which is sufficient to locate the exact figure. The price series used for the beta regression was supplied with an adjusted close column, a market data vendor convention rather than the exchange bhavcopy format, and is labelled as vendor sourced on the Beta sheet.</t>
  </si>
  <si>
    <t xml:space="preserve">Line item (consolidated, as reported)</t>
  </si>
  <si>
    <t xml:space="preserve">Unit</t>
  </si>
  <si>
    <t xml:space="preserve">FY2024-25 restated</t>
  </si>
  <si>
    <t xml:space="preserve">Revenue from operations</t>
  </si>
  <si>
    <t xml:space="preserve">Rs cr</t>
  </si>
  <si>
    <t xml:space="preserve">Government grants including duty credits</t>
  </si>
  <si>
    <t xml:space="preserve">Other income</t>
  </si>
  <si>
    <t xml:space="preserve">Total income</t>
  </si>
  <si>
    <t xml:space="preserve">Finance costs</t>
  </si>
  <si>
    <t xml:space="preserve">Depreciation and amortisation</t>
  </si>
  <si>
    <t xml:space="preserve">Profit before exceptional items and tax</t>
  </si>
  <si>
    <t xml:space="preserve">Exceptional items, expense</t>
  </si>
  <si>
    <t xml:space="preserve">Profit before tax</t>
  </si>
  <si>
    <t xml:space="preserve">Profit for the year, owners of the parent</t>
  </si>
  <si>
    <t xml:space="preserve">Profit for the year, non-controlling interest</t>
  </si>
  <si>
    <t xml:space="preserve">Cement sales volume</t>
  </si>
  <si>
    <t xml:space="preserve">mn T</t>
  </si>
  <si>
    <t xml:space="preserve">Property, plant and equipment</t>
  </si>
  <si>
    <t xml:space="preserve">Right-of-use assets</t>
  </si>
  <si>
    <t xml:space="preserve">Capital work in progress</t>
  </si>
  <si>
    <t xml:space="preserve">Goodwill</t>
  </si>
  <si>
    <t xml:space="preserve">Other intangible assets</t>
  </si>
  <si>
    <t xml:space="preserve">Equity attributable to owners</t>
  </si>
  <si>
    <t xml:space="preserve">Non-controlling interest</t>
  </si>
  <si>
    <t xml:space="preserve">Borrowings, non-current</t>
  </si>
  <si>
    <t xml:space="preserve">Borrowings, current</t>
  </si>
  <si>
    <t xml:space="preserve">Lease liabilities, total</t>
  </si>
  <si>
    <t xml:space="preserve">Cash and cash equivalents</t>
  </si>
  <si>
    <t xml:space="preserve">Bank balances other than above</t>
  </si>
  <si>
    <t xml:space="preserve">Current investments</t>
  </si>
  <si>
    <t xml:space="preserve">Deferred tax liabilities (net)</t>
  </si>
  <si>
    <t xml:space="preserve">Derived</t>
  </si>
  <si>
    <t xml:space="preserve">Revenue including government grants</t>
  </si>
  <si>
    <t xml:space="preserve">EBITDA (uniform definition)</t>
  </si>
  <si>
    <t xml:space="preserve">EBIT</t>
  </si>
  <si>
    <t xml:space="preserve">Reported profit for the year</t>
  </si>
  <si>
    <t xml:space="preserve">Reported effective tax rate</t>
  </si>
  <si>
    <t xml:space="preserve">Operating invested capital (PPE, ROU, CWIP, NWC)</t>
  </si>
  <si>
    <t xml:space="preserve">Goodwill and other intangibles</t>
  </si>
  <si>
    <t xml:space="preserve">Net debt (borrowings + leases - cash)</t>
  </si>
  <si>
    <t xml:space="preserve">The uniform EBITDA definition gives Rs 6,559 crore for FY2025-26. The company's own Operating EBITDA line reads Rs 6,539 crore; the Rs 20 crore difference is the share of profit of joint ventures and associates, which sits outside this definition. Ties to within 0.3%, which is the check that the definition is right.</t>
  </si>
  <si>
    <t xml:space="preserve">Entity Build: standalone to consolidated</t>
  </si>
  <si>
    <t xml:space="preserve">Ambuja Cements Ltd, FY2025-26. Standalone and consolidated are as reported; the subsidiary column is derived as the difference.</t>
  </si>
  <si>
    <t xml:space="preserve">Line item</t>
  </si>
  <si>
    <t xml:space="preserve">Standalone</t>
  </si>
  <si>
    <t xml:space="preserve">Subsidiaries</t>
  </si>
  <si>
    <t xml:space="preserve">Consolidated</t>
  </si>
  <si>
    <t xml:space="preserve">Check</t>
  </si>
  <si>
    <t xml:space="preserve">Government grants</t>
  </si>
  <si>
    <t xml:space="preserve">Revenue including grants</t>
  </si>
  <si>
    <t xml:space="preserve">EBITDA margin</t>
  </si>
  <si>
    <t xml:space="preserve">Share of group revenue</t>
  </si>
  <si>
    <t xml:space="preserve">Share of group EBITDA</t>
  </si>
  <si>
    <t xml:space="preserve">THE FINDING. Ambuja standalone carries 61.6% of group revenue but only 44.7% of group EBITDA. The parent runs an 11.7% margin while the subsidiaries run 23.3%. The weak assets, principally Sanghi and Penna, sit inside the standalone entity, while ACC and Orient sit outside it. A consolidated-only model hides this entirely, which is why this tab exists and why the valuation is presented as a build up.</t>
  </si>
  <si>
    <t xml:space="preserve">Why the forecast is nonetheless run at consolidated level</t>
  </si>
  <si>
    <t xml:space="preserve">Volume of 74 million tonnes and capacity of 109 MTPA are disclosed CONSOLIDATED ONLY. Splitting them by revenue share would imply standalone volume of about 45.6 million tonnes, but that is a derivation and not a disclosure, and forecasting a derived volume series against a disclosed capacity series would be false precision. The base year build above is fully sourced; the forecast therefore runs on consolidated capacity times utilisation times EBITDA per tonne, and the equity bridge deducts the non-controlling interest so that only the owners' share is valued. If standalone volume is obtained from the company, this tab is where a two block forecast would be built.</t>
  </si>
  <si>
    <t xml:space="preserve">Basis decision and its consequence for the multiple</t>
  </si>
  <si>
    <t xml:space="preserve">Basis</t>
  </si>
  <si>
    <t xml:space="preserve">EBITDA</t>
  </si>
  <si>
    <t xml:space="preserve">Enterprise value</t>
  </si>
  <si>
    <t xml:space="preserve">EV/EBITDA</t>
  </si>
  <si>
    <t xml:space="preserve">Standalone (wrong pairing)</t>
  </si>
  <si>
    <t xml:space="preserve">Consolidated with NCI added</t>
  </si>
  <si>
    <t xml:space="preserve">Market capitalisation of Rs 99,095 crore prices the whole group including the 50.05% stake in ACC. Dividing it by standalone EBITDA prints 34x and is a category error. Adding the non-controlling interest of Rs 12,499 crore to enterprise value and dividing by consolidated EBITDA gives 17.0x. This is the pairing used throughout the model and in the peer comparison.</t>
  </si>
  <si>
    <t xml:space="preserve">CONSISTENCY CHECK: the build must tie to the reported total</t>
  </si>
  <si>
    <t xml:space="preserve">Revenue: standalone plus subsidiaries</t>
  </si>
  <si>
    <t xml:space="preserve">EBITDA: standalone plus subsidiaries</t>
  </si>
  <si>
    <t xml:space="preserve">Build</t>
  </si>
  <si>
    <t xml:space="preserve">As reported</t>
  </si>
  <si>
    <t xml:space="preserve">This is the MRF style tie out. The two blocks are not independent estimates that happen to be near the total; the subsidiary column is DERIVED as consolidated less standalone, so it ties by construction and the check confirms no transcription error. In the forecast the same discipline holds: consolidated revenue is built from capacity and then SPLIT, so the blocks always sum to the total. Note the residual caveat: intercompany eliminations sit inside the subsidiary column because they cannot be separated from the published statements.</t>
  </si>
  <si>
    <t xml:space="preserve">Normalisation and reclassification</t>
  </si>
  <si>
    <t xml:space="preserve">Every adjustment carries the annual report note reference it came from.</t>
  </si>
  <si>
    <t xml:space="preserve">Normalised</t>
  </si>
  <si>
    <t xml:space="preserve">Basis and note reference</t>
  </si>
  <si>
    <t xml:space="preserve">Tax expense (credit), consolidated</t>
  </si>
  <si>
    <t xml:space="preserve">Note 32. Reported line is a net CREDIT of Rs 2,338.31 cr, giving an effective rate of minus 70.9%. Replaced throughout by the statutory rate of 25.168% under s.115BAA applied to EBIT.</t>
  </si>
  <si>
    <t xml:space="preserve">Driver 1: litigation provisions released</t>
  </si>
  <si>
    <t xml:space="preserve">Note 32(ii). Rs 1,179.71 cr of earlier year provisions released on favourable High Court decisions, plus Rs 71.05 cr revising FY2024-25. Non cash, prior period. Excluded.</t>
  </si>
  <si>
    <t xml:space="preserve">Driver 1a: duty and taxes paid under protest</t>
  </si>
  <si>
    <t xml:space="preserve">Note 53, non-current. Real cash already paid, recoverable on favourable rulings. Sits outside operating invested capital. ADDED as a non-operating asset.</t>
  </si>
  <si>
    <t xml:space="preserve">Driver 2: deferred tax liabilities (net)</t>
  </si>
  <si>
    <t xml:space="preserve">Balance sheet. Treated as a real liability and DEDUCTED in the equity bridge as a one time drop, not amortised.</t>
  </si>
  <si>
    <t xml:space="preserve">Driver 3: DTA on losses and unabsorbed depreciation</t>
  </si>
  <si>
    <t xml:space="preserve">Note 32. Memo only. Already netted inside Driver 2, so adding it again would double count. Note it is SHRINKING: Rs 509.66 cr opening, Rs 163.88 cr consumed, Rs 345.78 cr closing.</t>
  </si>
  <si>
    <t xml:space="preserve">Exceptional items, consolidated</t>
  </si>
  <si>
    <t xml:space="preserve">Consolidated P&amp;L. Removed from earnings; sits below profit before exceptional items so EBITDA needs no adjustment.</t>
  </si>
  <si>
    <t xml:space="preserve">Balance sheet. DEDUCTED in the bridge because consolidated cash flows include 100% of partly owned subsidiaries.</t>
  </si>
  <si>
    <t xml:space="preserve">Excluded from EBITDA under our uniform definition, so cash and investments are non-operating and added back once at the bridge.</t>
  </si>
  <si>
    <t xml:space="preserve">Net effect of the three tax drivers on value: minus Rs 11.54 per share. The headline credit of Rs 2,338 crore, which lifts reported profit 71% above pre-tax profit, is worth negative value once each component is treated on its economics rather than its accounting.</t>
  </si>
  <si>
    <t xml:space="preserve">Common Size Statements: Ambuja Cements (consolidated)</t>
  </si>
  <si>
    <t xml:space="preserve">Recomputed from the consolidated statements on Source-Data. Nothing downloaded.</t>
  </si>
  <si>
    <t xml:space="preserve">Income statement, percent of revenue including government grants</t>
  </si>
  <si>
    <t xml:space="preserve">Exceptional items</t>
  </si>
  <si>
    <t xml:space="preserve">Profit for the year (total)</t>
  </si>
  <si>
    <t xml:space="preserve">Profit attributable to owners</t>
  </si>
  <si>
    <t xml:space="preserve">Profit attributable to minorities</t>
  </si>
  <si>
    <t xml:space="preserve">Capital employed, percent of total</t>
  </si>
  <si>
    <t xml:space="preserve">Two lines deserve attention. Profit for the year runs at roughly 14% of revenue while EBITDA runs at 16%, which is impossible on normal taxation and is the visible fingerprint of the net tax CREDIT. Second, goodwill and other intangibles together account for close to a third of capital employed. That is capital shareholders paid for which earns no separate return, and it is why return on invested capital including goodwill never reaches the cost of capital in the forecast. Only two years are shown because the annual report provides only two on a consolidated basis; earlier consolidated years exist only in broker research, which is not an authorised source.</t>
  </si>
  <si>
    <t xml:space="preserve">Ratio Analysis: Ambuja Cements (consolidated)</t>
  </si>
  <si>
    <t xml:space="preserve">Returns use the statutory tax rate of 25.168%, never the reported effective rate, which is negative.</t>
  </si>
  <si>
    <t xml:space="preserve">Ratio</t>
  </si>
  <si>
    <t xml:space="preserve">Profitability</t>
  </si>
  <si>
    <t xml:space="preserve">EBIT margin</t>
  </si>
  <si>
    <t xml:space="preserve">NOPAT at statutory tax</t>
  </si>
  <si>
    <t xml:space="preserve">ROIC including goodwill</t>
  </si>
  <si>
    <t xml:space="preserve">ROIC excluding goodwill</t>
  </si>
  <si>
    <t xml:space="preserve">Return on equity (reported, owners)</t>
  </si>
  <si>
    <t xml:space="preserve">MEMO: reported effective tax rate</t>
  </si>
  <si>
    <t xml:space="preserve">Per tonne economics (FY2025-26 only, volume not disclosed for the prior year)</t>
  </si>
  <si>
    <t xml:space="preserve">Sales volume (mn tonnes)</t>
  </si>
  <si>
    <t xml:space="preserve">Realisation per tonne (Rs)</t>
  </si>
  <si>
    <t xml:space="preserve">EBITDA per tonne (Rs)</t>
  </si>
  <si>
    <t xml:space="preserve">Capacity utilisation</t>
  </si>
  <si>
    <t xml:space="preserve">Asset composition</t>
  </si>
  <si>
    <t xml:space="preserve">Goodwill and intangibles, percent of invested capital</t>
  </si>
  <si>
    <t xml:space="preserve">CWIP, percent of gross operating assets</t>
  </si>
  <si>
    <t xml:space="preserve">Revenue to operating fixed assets</t>
  </si>
  <si>
    <t xml:space="preserve">Leverage and coverage</t>
  </si>
  <si>
    <t xml:space="preserve">Debt to equity</t>
  </si>
  <si>
    <t xml:space="preserve">Net debt to EBITDA</t>
  </si>
  <si>
    <t xml:space="preserve">Interest coverage (EBIT / finance costs)</t>
  </si>
  <si>
    <t xml:space="preserve">Minority share of group profit</t>
  </si>
  <si>
    <t xml:space="preserve">Read the two ROIC rows together. Excluding goodwill the business earns a mediocre return; including it, the return is far below the 11.03% cost of capital. Goodwill is capital shareholders paid, so the second number is the one that matters to them and the first is the one that measures the plants. The memo tax rate row shows why nothing in this workbook uses the reported effective rate. And the minority share row quantifies how much of group profit does not belong to Ambuja shareholders, which is the leakage the pending merger is designed to remove.</t>
  </si>
  <si>
    <t xml:space="preserve">Net working capital, opening</t>
  </si>
  <si>
    <t xml:space="preserve">Consolidated current assets excluding cash and investments, less current liabilities excluding borrowings and leases.</t>
  </si>
  <si>
    <t xml:space="preserve">Opening position, FY2025-26 consolidated actual</t>
  </si>
  <si>
    <t xml:space="preserve">Cement sales volume (mn T)</t>
  </si>
  <si>
    <t xml:space="preserve">From the Growth Trajectory highlights.</t>
  </si>
  <si>
    <t xml:space="preserve">Capacity (MTPA)</t>
  </si>
  <si>
    <t xml:space="preserve">Company stated current capacity.</t>
  </si>
  <si>
    <t xml:space="preserve">Opening utilisation</t>
  </si>
  <si>
    <t xml:space="preserve">Far below UltraTech's 82%. Spare capacity is the whole investment case.</t>
  </si>
  <si>
    <t xml:space="preserve">Rs 6,559 crore over 74 million tonnes.</t>
  </si>
  <si>
    <t xml:space="preserve">Rs 40,656 crore over 74 million tonnes.</t>
  </si>
  <si>
    <t xml:space="preserve">Operating fixed assets (PPE, ROU, CWIP)</t>
  </si>
  <si>
    <t xml:space="preserve">Excludes goodwill and intangibles, which are held separately.</t>
  </si>
  <si>
    <t xml:space="preserve">From acquisitions. In invested capital, but NOT grown at g in the terminal.</t>
  </si>
  <si>
    <t xml:space="preserve">Market and capital structure</t>
  </si>
  <si>
    <t xml:space="preserve">Market capitalisation</t>
  </si>
  <si>
    <t xml:space="preserve">As disclosed, 30 March 2026 close.</t>
  </si>
  <si>
    <t xml:space="preserve">Shares outstanding (crore)</t>
  </si>
  <si>
    <t xml:space="preserve">Share capital Rs 494.36 cr at Rs 2 face value.</t>
  </si>
  <si>
    <t xml:space="preserve">Borrowings and lease liabilities</t>
  </si>
  <si>
    <t xml:space="preserve">Rs 52.78 cr borrowings plus Rs 813.15 cr leases. Ambuja is effectively debt free.</t>
  </si>
  <si>
    <t xml:space="preserve">Cash, bank and current investments</t>
  </si>
  <si>
    <t xml:space="preserve">Net cash position of about Rs 93 crore.</t>
  </si>
  <si>
    <t xml:space="preserve">Book value. Deducted in the bridge because consolidated flows include 100% of partly owned subsidiaries.</t>
  </si>
  <si>
    <t xml:space="preserve">Tax credit of Rs 2,338 crore: the three drivers, adjusted explicitly</t>
  </si>
  <si>
    <t xml:space="preserve">Rs 1,251 crore of earlier year provisions reversed after favourable High Court decisions. The PROVISION REVERSAL itself has no valuation impact and the adjustment here is deliberately zero: it was a provision for disputed income tax sitting in the tax line, and reversing a liability that was never paid changes reported profit without changing cash. Because this model taxes EBIT at the statutory rate throughout, the credit was never in the cash flows to begin with. BUT SEE THE NEXT ROW: part of the disputed tax WAS paid in cash.</t>
  </si>
  <si>
    <t xml:space="preserve">Driver 1a: tax paid under protest, recoverable</t>
  </si>
  <si>
    <t xml:space="preserve">CONSOLIDATED non-current duty and taxes paid under protest against various disputes (Note 53): Rs 614.10 crore at 31 March 2026, against Rs 628.88 crore a year earlier. This is real cash Ambuja has already handed over and carries as an asset pending appeal, and favourable rulings turn it into a refund. It sits in other non-current assets, which is OUTSIDE the operating invested capital used in this model, so it was being missed entirely. Added to the bridge as a non-operating asset. The current portion of Rs 10.56 crore is already inside net working capital and is NOT added again.</t>
  </si>
  <si>
    <t xml:space="preserve">Driver 2: deferred tax liabilities, deducted</t>
  </si>
  <si>
    <t xml:space="preserve">Net consolidated deferred tax liability at 31 March 2026. Treated as a real liability and deducted in the bridge as a ONE TIME drop, not amortised over the forecast. The logic: a deferred tax liability means cash tax paid has lagged book tax, so as it unwinds cash tax exceeds book tax and free cash flow falls. Taking it as a single deduction at the valuation date rather than spreading it avoids pretending to know the timing. This also satisfies liability consistency: if it is treated as a liability it must appear in the bridge.</t>
  </si>
  <si>
    <t xml:space="preserve">Driver 3: memo, deferred tax asset on losses and unabsorbed depreciation</t>
  </si>
  <si>
    <t xml:space="preserve">CONSOLIDATED figure. The note is headed Unabsorbed depreciation AND Business Losses together, so this single balance already covers BOTH; there is no separate larger business loss pool sitting behind it. Section 72A lets an amalgamated company carry forward the accumulated losses and unabsorbed depreciation of the transferor. Two things follow. First, this is the only one of the three drivers with genuine forward cash value, and it implies roughly Rs 1,374 crore of shelter at the statutory rate. Second, and more important, it is SHRINKING: Rs 509.66 crore at the start of the year, Rs 163.88 crore consumed during FY2025-26, Rs 345.78 crore left. The shelter is being used up, not built. MEMO ONLY, not added separately, because Driver 2 is the NET deferred tax position and this asset is already netted inside it. An earlier draft used the STANDALONE figure of Rs 280.27 crore here, which was the wrong basis for a consolidated model.</t>
  </si>
  <si>
    <t xml:space="preserve">Cost of capital</t>
  </si>
  <si>
    <t xml:space="preserve">Indian 10 year G-Sec yield</t>
  </si>
  <si>
    <t xml:space="preserve">SOURCED AND DATE MATCHED. FBIL 10-Year G-Sec Par Yield, week ended 20 March 2026, from the RBI Ratios and Rates release dated 27 March 2026. This is the last weekly print before the 31 March 2026 valuation date, so the risk free rate, the market capitalisation and the balance sheet are all struck on the same window. Nearby prints for context: 6.74% on 13 March, 6.76% on 6 March, 6.71% on 27 February, and 6.65% a year earlier in March 2025.</t>
  </si>
  <si>
    <t xml:space="preserve">India sovereign default spread</t>
  </si>
  <si>
    <t xml:space="preserve">Damodaran, January 2026.</t>
  </si>
  <si>
    <t xml:space="preserve">Risk free rate (rupee, default free)</t>
  </si>
  <si>
    <t xml:space="preserve">India equity risk premium</t>
  </si>
  <si>
    <t xml:space="preserve">Unlevered beta, Building Materials</t>
  </si>
  <si>
    <t xml:space="preserve">Damodaran Global, cash corrected.</t>
  </si>
  <si>
    <t xml:space="preserve">Market debt to equity</t>
  </si>
  <si>
    <t xml:space="preserve">Rs 865.93 cr over Rs 99,095 cr.</t>
  </si>
  <si>
    <t xml:space="preserve">Levered beta (bottom up)</t>
  </si>
  <si>
    <t xml:space="preserve">Pre tax cost of debt</t>
  </si>
  <si>
    <t xml:space="preserve">Nominal. Barely matters at this leverage.</t>
  </si>
  <si>
    <t xml:space="preserve">Statutory tax rate</t>
  </si>
  <si>
    <t xml:space="preserve">Section 115BAA. The reported effective rate is negative and unusable.</t>
  </si>
  <si>
    <t xml:space="preserve">Terminal</t>
  </si>
  <si>
    <t xml:space="preserve">Long run real GDP growth</t>
  </si>
  <si>
    <t xml:space="preserve">Owned assumption.</t>
  </si>
  <si>
    <t xml:space="preserve">Long run inflation</t>
  </si>
  <si>
    <t xml:space="preserve">RBI CPI target.</t>
  </si>
  <si>
    <t xml:space="preserve">Nominal GDP growth</t>
  </si>
  <si>
    <t xml:space="preserve">Terminal growth as a fraction of nominal GDP</t>
  </si>
  <si>
    <t xml:space="preserve">65.0% of nominal GDP, giving 6.99%. RAISED from 46.5% to reflect India's infrastructure runway, which is a genuine medium term demand driver. The HARD CONSTRAINT is that terminal growth can never exceed nominal GDP of 10.76%: a company growing faster than the economy forever eventually becomes larger than the economy. A peer multiple of 19.4x implies 10.99%, which breaches that constraint and is the basis on which this model rejects the peer multiple. Adopting 10.99% ourselves would contradict our own central argument. The same fraction is used for both companies so the two are treated consistently.</t>
  </si>
  <si>
    <t xml:space="preserve">Terminal growth rate</t>
  </si>
  <si>
    <t xml:space="preserve">Forecast drivers, FY2026-27 to FY2035-36</t>
  </si>
  <si>
    <t xml:space="preserve">Driver</t>
  </si>
  <si>
    <t xml:space="preserve">FY27</t>
  </si>
  <si>
    <t xml:space="preserve">FY28</t>
  </si>
  <si>
    <t xml:space="preserve">FY29</t>
  </si>
  <si>
    <t xml:space="preserve">FY30</t>
  </si>
  <si>
    <t xml:space="preserve">FY31</t>
  </si>
  <si>
    <t xml:space="preserve">FY32</t>
  </si>
  <si>
    <t xml:space="preserve">FY33</t>
  </si>
  <si>
    <t xml:space="preserve">FY34</t>
  </si>
  <si>
    <t xml:space="preserve">FY35</t>
  </si>
  <si>
    <t xml:space="preserve">FY36</t>
  </si>
  <si>
    <t xml:space="preserve">Company targets 119 MTPA. Beyond that this assumes modest brownfield addition only.</t>
  </si>
  <si>
    <t xml:space="preserve">From 67.9% today toward 85%. This is the single most important driver: the plants exist, the question is whether they fill.</t>
  </si>
  <si>
    <t xml:space="preserve">Realisation growth</t>
  </si>
  <si>
    <t xml:space="preserve">Realisation grows below inflation for most of the forecast, consistent with the sector record and with sell side assumptions of flat to falling net sales realisation. Most of the margin improvement is assumed to come from cost and fixed cost absorption, not price.</t>
  </si>
  <si>
    <t xml:space="preserve">Standalone share of consolidated revenue</t>
  </si>
  <si>
    <t xml:space="preserve">FY2025-26 actual is 61.6%. Held broadly flat with a slight drift as the subsidiaries grow marginally faster. See the Entity Build sheet for the base year derivation.</t>
  </si>
  <si>
    <t xml:space="preserve">Standalone EBITDA margin</t>
  </si>
  <si>
    <t xml:space="preserve">FY2025-26 actual is 11.7%. The standalone entity carries Sanghi and Penna, which are the weak assets, so this path assumes their integration lifts the parent margin from 11.7% to 19.0% over ten years. This is the single most important assumption in the model.</t>
  </si>
  <si>
    <t xml:space="preserve">Subsidiary EBITDA margin</t>
  </si>
  <si>
    <t xml:space="preserve">FY2025-26 actual is 23.3%. ACC and Orient are already the better assets, so only modest further improvement is assumed, from 23.3% to 26.0%.</t>
  </si>
  <si>
    <t xml:space="preserve">Capital expenditure</t>
  </si>
  <si>
    <t xml:space="preserve">Tapering as the current expansion completes. Explicit input, not derived from capital intensity.</t>
  </si>
  <si>
    <t xml:space="preserve">Depreciation, percent of opening operating assets</t>
  </si>
  <si>
    <t xml:space="preserve">FY2025-26 depreciation over opening operating assets. High because of recently acquired and revalued assets.</t>
  </si>
  <si>
    <t xml:space="preserve">Net working capital, percent of revenue</t>
  </si>
  <si>
    <t xml:space="preserve">Slightly negative, as reported.</t>
  </si>
  <si>
    <t xml:space="preserve">Realisation is assumed to grow at 40% of the EBITDA per tonne growth rate, so most of the margin improvement is assumed to come from cost, not price. That is consistent with the sell side view that cement realisation is flat to falling, and with Ambuja's own ten year record.</t>
  </si>
  <si>
    <t xml:space="preserve">Capacity</t>
  </si>
  <si>
    <t xml:space="preserve">MTPA</t>
  </si>
  <si>
    <t xml:space="preserve">Utilisation</t>
  </si>
  <si>
    <t xml:space="preserve">%</t>
  </si>
  <si>
    <t xml:space="preserve">Sales volume</t>
  </si>
  <si>
    <t xml:space="preserve">Realisation per tonne</t>
  </si>
  <si>
    <t xml:space="preserve">Rs/t</t>
  </si>
  <si>
    <t xml:space="preserve">Revenue</t>
  </si>
  <si>
    <t xml:space="preserve">Standalone share of revenue</t>
  </si>
  <si>
    <t xml:space="preserve">Standalone revenue</t>
  </si>
  <si>
    <t xml:space="preserve">Standalone EBITDA</t>
  </si>
  <si>
    <t xml:space="preserve">Subsidiary revenue</t>
  </si>
  <si>
    <t xml:space="preserve">Subsidiary EBITDA</t>
  </si>
  <si>
    <t xml:space="preserve">Memo: consolidated EBITDA margin</t>
  </si>
  <si>
    <t xml:space="preserve">Memo: EBITDA per tonne</t>
  </si>
  <si>
    <t xml:space="preserve">Opening operating fixed assets</t>
  </si>
  <si>
    <t xml:space="preserve">Closing operating fixed assets</t>
  </si>
  <si>
    <t xml:space="preserve">NOPAT (EBIT at statutory tax)</t>
  </si>
  <si>
    <t xml:space="preserve">Net working capital (closing)</t>
  </si>
  <si>
    <t xml:space="preserve">Change in net working capital</t>
  </si>
  <si>
    <t xml:space="preserve">Memo: EBITDA margin</t>
  </si>
  <si>
    <t xml:space="preserve">THIS SHEET IS A BUILD UP, NOT A CONSOLIDATED FORECAST. Revenue is built top down from physical capacity times utilisation times realisation, which disciplines it against the plant the company actually owns. That consolidated revenue is then SPLIT into the standalone parent and the subsidiary block using the FY2025-26 revenue share of 61.6%, and each block carries its own EBITDA margin: the parent starts at 11.7% because Sanghi and Penna sit inside it, the subsidiaries start at 23.3% because ACC and Orient sit outside it. Consolidated EBITDA is the SUM of the two blocks, not an assumed group margin. Free cash flow is negative in the early years, which is what a company at 68% utilisation with Rs 9,085 crore of capital work in progress looks like.</t>
  </si>
  <si>
    <t xml:space="preserve">HISTORICAL ACTUALS, for comparison with the forecast above</t>
  </si>
  <si>
    <t xml:space="preserve">FY25</t>
  </si>
  <si>
    <t xml:space="preserve">FY26</t>
  </si>
  <si>
    <t xml:space="preserve">Actual</t>
  </si>
  <si>
    <t xml:space="preserve">Cement sales volume (Mn.T)</t>
  </si>
  <si>
    <t xml:space="preserve">   of which standalone</t>
  </si>
  <si>
    <t xml:space="preserve">   of which subsidiaries</t>
  </si>
  <si>
    <t xml:space="preserve">EBITDA margin, consolidated</t>
  </si>
  <si>
    <t xml:space="preserve">   standalone margin</t>
  </si>
  <si>
    <t xml:space="preserve">   subsidiary margin</t>
  </si>
  <si>
    <t xml:space="preserve">Operating fixed assets</t>
  </si>
  <si>
    <t xml:space="preserve">Goodwill and intangibles</t>
  </si>
  <si>
    <t xml:space="preserve">Invested capital incl goodwill</t>
  </si>
  <si>
    <t xml:space="preserve">ROIC incl goodwill</t>
  </si>
  <si>
    <t xml:space="preserve">ROIC excl goodwill</t>
  </si>
  <si>
    <t xml:space="preserve">The forecast block above is marked in the column headers; this block is ACTUAL and is shown separately rather than beside the forecast so that no historical figure can be picked up by a forecast formula. Every figure here is as reported in the annual report and is the base from which the forecast drivers were set. Note the standalone and subsidiary split: the parent carries 61.6% of group revenue but only 44.7% of group EBITDA, which is the finding the Entity Build sheet develops.</t>
  </si>
  <si>
    <t xml:space="preserve">Opening operating invested capital</t>
  </si>
  <si>
    <t xml:space="preserve">Add: Capex less depreciation</t>
  </si>
  <si>
    <t xml:space="preserve">Add: Change in net working capital</t>
  </si>
  <si>
    <t xml:space="preserve">Closing operating invested capital</t>
  </si>
  <si>
    <t xml:space="preserve">Goodwill and intangibles (held flat)</t>
  </si>
  <si>
    <t xml:space="preserve">Total invested capital (opening, incl goodwill)</t>
  </si>
  <si>
    <t xml:space="preserve">NOPAT</t>
  </si>
  <si>
    <t xml:space="preserve">ROIC on operating capital only</t>
  </si>
  <si>
    <t xml:space="preserve">Terminal year, steady state</t>
  </si>
  <si>
    <t xml:space="preserve">NOPAT in the terminal year</t>
  </si>
  <si>
    <t xml:space="preserve">Closing OPERATING invested capital</t>
  </si>
  <si>
    <t xml:space="preserve">Reinvestment = g x operating invested capital</t>
  </si>
  <si>
    <t xml:space="preserve">Terminal FCFF</t>
  </si>
  <si>
    <t xml:space="preserve">Implied terminal ROIC (operating)</t>
  </si>
  <si>
    <t xml:space="preserve">Implied terminal reinvestment rate</t>
  </si>
  <si>
    <t xml:space="preserve">Terminal reinvestment is charged on OPERATING invested capital, excluding goodwill. Organic growth does not require buying more goodwill, so charging g times goodwill would overstate the reinvestment the company must make forever. Getting this wrong understates the value by roughly Rs 46 per share, and in an earlier draft it drove the equity value negative. Goodwill remains inside invested capital for the ROIC measure above, because it is capital shareholders actually paid, and both versions of ROIC are shown so the reader can see the difference.</t>
  </si>
  <si>
    <t xml:space="preserve">Cash flow: historical actual and forecast</t>
  </si>
  <si>
    <t xml:space="preserve">Historical, consolidated as reported</t>
  </si>
  <si>
    <t xml:space="preserve">FY2024-25</t>
  </si>
  <si>
    <t xml:space="preserve">The annual report cash flow statement is not reproduced line by line here because our valuation is built on free cash flow to the firm derived from the forecast rather than on reported operating cash flow. The reconciling items above are the ones that matter for that derivation. If the full statement is required for submission it should be spread from the report and entered as blue inputs.</t>
  </si>
  <si>
    <t xml:space="preserve">Forecast free cash flow to the firm</t>
  </si>
  <si>
    <t xml:space="preserve">Less: Depreciation and amortisation</t>
  </si>
  <si>
    <t xml:space="preserve">Add: Depreciation and amortisation</t>
  </si>
  <si>
    <t xml:space="preserve">Less: Capital expenditure</t>
  </si>
  <si>
    <t xml:space="preserve">Less: Change in net working capital</t>
  </si>
  <si>
    <t xml:space="preserve">Free cash flow to the firm</t>
  </si>
  <si>
    <t xml:space="preserve">Free cash flow is NEGATIVE in the first two forecast years. That is not a modelling error; it is what a company at 68% utilisation with capital work in progress of Rs 9,085 crore still to commission looks like.</t>
  </si>
  <si>
    <t xml:space="preserve">Cost of Capital</t>
  </si>
  <si>
    <t xml:space="preserve">Risk free rate</t>
  </si>
  <si>
    <t xml:space="preserve">G-Sec less the sovereign default spread.</t>
  </si>
  <si>
    <t xml:space="preserve">Levered beta</t>
  </si>
  <si>
    <t xml:space="preserve">Unlevered 0.90 relevered at a debt to equity of only 0.87%.</t>
  </si>
  <si>
    <t xml:space="preserve">Cost of equity, CAPM</t>
  </si>
  <si>
    <t xml:space="preserve">Fama French Ke, if computed</t>
  </si>
  <si>
    <t xml:space="preserve">Leave blank for CAPM. Fill from the companion notebook. A Fama French Ke is already levered, so do not relever a beta on top of it.</t>
  </si>
  <si>
    <t xml:space="preserve">Cost of equity (Ke)</t>
  </si>
  <si>
    <t xml:space="preserve">Pre tax cost of debt (Kd)</t>
  </si>
  <si>
    <t xml:space="preserve">Debt to enterprise value (D/V)</t>
  </si>
  <si>
    <t xml:space="preserve">Equity to enterprise value (E/V)</t>
  </si>
  <si>
    <t xml:space="preserve">WACC (after tax)</t>
  </si>
  <si>
    <t xml:space="preserve">Unlevered cost of capital (rho)</t>
  </si>
  <si>
    <t xml:space="preserve">Check: rho = WACC + Kd x t x D/V</t>
  </si>
  <si>
    <t xml:space="preserve">Ambuja carries almost no debt, so WACC, rho and the cost of equity are within four basis points of each other and the capital structure machinery barely binds. The circularity that mattered for UltraTech is immaterial here: at a debt to equity of 0.87%, no plausible revision to the equity value moves the weights enough to matter. That is worth stating rather than leaving the reader to wonder whether it was checked.</t>
  </si>
  <si>
    <t xml:space="preserve">Beta: bottom up build and live regression cross check</t>
  </si>
  <si>
    <t xml:space="preserve">Blue on yellow is an input. The regression block below computes itself once monthly closes are pasted in.</t>
  </si>
  <si>
    <t xml:space="preserve">Method used: bottom up beta</t>
  </si>
  <si>
    <t xml:space="preserve">Value</t>
  </si>
  <si>
    <t xml:space="preserve">Source and reasoning</t>
  </si>
  <si>
    <t xml:space="preserve">Damodaran, Betas by Sector (Global), January 2026. 469 firms. CASH CORRECTED figure, not the raw 0.86, because this model adds cash back separately at the equity bridge; the raw beta would count cash twice.</t>
  </si>
  <si>
    <t xml:space="preserve">Borrowings and leases over market capitalisation, both from the company's own disclosure.</t>
  </si>
  <si>
    <t xml:space="preserve">Marginal tax rate</t>
  </si>
  <si>
    <t xml:space="preserve">Section 115BAA: 22% plus 10% surcharge plus 4% cess.</t>
  </si>
  <si>
    <t xml:space="preserve">Levered beta (Hamada)</t>
  </si>
  <si>
    <t xml:space="preserve">Unlevered x (1 + (1 - t) x D/E). This is the figure carried into the Cost of Capital sheet.</t>
  </si>
  <si>
    <t xml:space="preserve">Cross check: live regression beta, 60 monthly observations</t>
  </si>
  <si>
    <t xml:space="preserve">Regression beta (slope)</t>
  </si>
  <si>
    <t xml:space="preserve">R squared</t>
  </si>
  <si>
    <t xml:space="preserve">Observations</t>
  </si>
  <si>
    <t xml:space="preserve">Blume adjusted beta</t>
  </si>
  <si>
    <t xml:space="preserve">Difference vs bottom up</t>
  </si>
  <si>
    <t xml:space="preserve">DATA POPULATED. 61 month end closes from March 2021 to March 2026 for the NIFTY 500 and for AMBUJACEM, newest first. SOURCE NOTE, stated precisely: the series was supplied with an adjusted close column, which is a market data vendor convention rather than the NSE bhavcopy format, so it should be treated as vendor sourced rather than exchange sourced. That is acceptable for a beta regression, which needs a consistent series rather than an authoritative one, but it is why the sourcing claim elsewhere in this model is confined to the FINANCIAL STATEMENTS and the COST OF CAPITAL PARAMETERS, which come from annual reports, RBI and Damodaran respectively.</t>
  </si>
  <si>
    <t xml:space="preserve">Month end</t>
  </si>
  <si>
    <t xml:space="preserve">NIFTY 500 close</t>
  </si>
  <si>
    <t xml:space="preserve">AMBUJACEM close</t>
  </si>
  <si>
    <t xml:space="preserve">Index return</t>
  </si>
  <si>
    <t xml:space="preserve">Stock return</t>
  </si>
  <si>
    <t xml:space="preserve">Newest month at the top. Returns are computed against the row below.</t>
  </si>
  <si>
    <t xml:space="preserve">2026-03</t>
  </si>
  <si>
    <t xml:space="preserve">2026-02</t>
  </si>
  <si>
    <t xml:space="preserve">2026-01</t>
  </si>
  <si>
    <t xml:space="preserve">2025-12</t>
  </si>
  <si>
    <t xml:space="preserve">2025-11</t>
  </si>
  <si>
    <t xml:space="preserve">2025-10</t>
  </si>
  <si>
    <t xml:space="preserve">2025-09</t>
  </si>
  <si>
    <t xml:space="preserve">2025-08</t>
  </si>
  <si>
    <t xml:space="preserve">2025-07</t>
  </si>
  <si>
    <t xml:space="preserve">2025-06</t>
  </si>
  <si>
    <t xml:space="preserve">2025-05</t>
  </si>
  <si>
    <t xml:space="preserve">2025-04</t>
  </si>
  <si>
    <t xml:space="preserve">2025-03</t>
  </si>
  <si>
    <t xml:space="preserve">2025-02</t>
  </si>
  <si>
    <t xml:space="preserve">2025-01</t>
  </si>
  <si>
    <t xml:space="preserve">2024-12</t>
  </si>
  <si>
    <t xml:space="preserve">2024-11</t>
  </si>
  <si>
    <t xml:space="preserve">2024-10</t>
  </si>
  <si>
    <t xml:space="preserve">2024-09</t>
  </si>
  <si>
    <t xml:space="preserve">2024-08</t>
  </si>
  <si>
    <t xml:space="preserve">2024-07</t>
  </si>
  <si>
    <t xml:space="preserve">2024-06</t>
  </si>
  <si>
    <t xml:space="preserve">2024-05</t>
  </si>
  <si>
    <t xml:space="preserve">2024-04</t>
  </si>
  <si>
    <t xml:space="preserve">2024-03</t>
  </si>
  <si>
    <t xml:space="preserve">2024-02</t>
  </si>
  <si>
    <t xml:space="preserve">2024-01</t>
  </si>
  <si>
    <t xml:space="preserve">2023-12</t>
  </si>
  <si>
    <t xml:space="preserve">2023-11</t>
  </si>
  <si>
    <t xml:space="preserve">2023-10</t>
  </si>
  <si>
    <t xml:space="preserve">2023-09</t>
  </si>
  <si>
    <t xml:space="preserve">2023-08</t>
  </si>
  <si>
    <t xml:space="preserve">2023-07</t>
  </si>
  <si>
    <t xml:space="preserve">2023-06</t>
  </si>
  <si>
    <t xml:space="preserve">2023-05</t>
  </si>
  <si>
    <t xml:space="preserve">2023-04</t>
  </si>
  <si>
    <t xml:space="preserve">2023-03</t>
  </si>
  <si>
    <t xml:space="preserve">2023-02</t>
  </si>
  <si>
    <t xml:space="preserve">2023-01</t>
  </si>
  <si>
    <t xml:space="preserve">2022-12</t>
  </si>
  <si>
    <t xml:space="preserve">2022-11</t>
  </si>
  <si>
    <t xml:space="preserve">2022-10</t>
  </si>
  <si>
    <t xml:space="preserve">2022-09</t>
  </si>
  <si>
    <t xml:space="preserve">2022-08</t>
  </si>
  <si>
    <t xml:space="preserve">2022-07</t>
  </si>
  <si>
    <t xml:space="preserve">2022-06</t>
  </si>
  <si>
    <t xml:space="preserve">2022-05</t>
  </si>
  <si>
    <t xml:space="preserve">2022-04</t>
  </si>
  <si>
    <t xml:space="preserve">2022-03</t>
  </si>
  <si>
    <t xml:space="preserve">2022-02</t>
  </si>
  <si>
    <t xml:space="preserve">2022-01</t>
  </si>
  <si>
    <t xml:space="preserve">2021-12</t>
  </si>
  <si>
    <t xml:space="preserve">2021-11</t>
  </si>
  <si>
    <t xml:space="preserve">2021-10</t>
  </si>
  <si>
    <t xml:space="preserve">2021-09</t>
  </si>
  <si>
    <t xml:space="preserve">2021-08</t>
  </si>
  <si>
    <t xml:space="preserve">2021-07</t>
  </si>
  <si>
    <t xml:space="preserve">2021-06</t>
  </si>
  <si>
    <t xml:space="preserve">2021-05</t>
  </si>
  <si>
    <t xml:space="preserve">2021-04</t>
  </si>
  <si>
    <t xml:space="preserve">2021-03</t>
  </si>
  <si>
    <t xml:space="preserve">Reading the result. If the regression beta lands close to the bottom up figure, report both and keep the bottom up number, which is more stable. If it differs materially, say which you adopt and why. Note that the sensitivity work on the Sensitivity sheet shows the valuation conclusion does not turn on beta: even a beta of 0.70 leaves the shares far above our value.</t>
  </si>
  <si>
    <t xml:space="preserve">Which beta this model uses, and why</t>
  </si>
  <si>
    <t xml:space="preserve">Bottom up beta (USED in the model)</t>
  </si>
  <si>
    <t xml:space="preserve">Regression beta, NIFTY 500, 60 months</t>
  </si>
  <si>
    <t xml:space="preserve">Regression R squared</t>
  </si>
  <si>
    <t xml:space="preserve">Difference, regression less bottom up</t>
  </si>
  <si>
    <t xml:space="preserve">THE CHOICE AND ITS DIRECTION. The model uses the BOTTOM UP beta. Three reasons. First, it is estimated from 469 sector firms rather than from one noisy series: the regression R squared is 0.27, so most of the variation in the stock is not explained by the index at all. Second, bottom up betas are more stable across estimation windows, which matters when the choice of window is itself a judgement. Third and most important, the regression beta of 1.1506 is HIGHER than the bottom up 0.9059, which would raise the cost of capital and LOWER our valuation. Since our recommendation is a SELL, using the lower beta works AGAINST our own conclusion. That is the conservative choice and it forecloses any suggestion that a beta was selected to flatter the answer. The Sensitivity sheet shows the value at the regression beta.</t>
  </si>
  <si>
    <t xml:space="preserve">Discount factor at WACC</t>
  </si>
  <si>
    <t xml:space="preserve">Present value of FCFF</t>
  </si>
  <si>
    <t xml:space="preserve">Sum of PV of explicit FCFF</t>
  </si>
  <si>
    <t xml:space="preserve">Terminal value</t>
  </si>
  <si>
    <t xml:space="preserve">PV of terminal value</t>
  </si>
  <si>
    <t xml:space="preserve">Enterprise value of operations</t>
  </si>
  <si>
    <t xml:space="preserve">Add: Cash, bank and current investments</t>
  </si>
  <si>
    <t xml:space="preserve">Less: Borrowings and leases</t>
  </si>
  <si>
    <t xml:space="preserve">Add: Tax paid under protest (Driver 1a)</t>
  </si>
  <si>
    <t xml:space="preserve">Less: Deferred tax liabilities (Driver 2)</t>
  </si>
  <si>
    <t xml:space="preserve">Less: Non-controlling interest</t>
  </si>
  <si>
    <t xml:space="preserve">Equity value attributable to owners</t>
  </si>
  <si>
    <t xml:space="preserve">Value per share (Rs)</t>
  </si>
  <si>
    <t xml:space="preserve">Terminal value as percent of EV</t>
  </si>
  <si>
    <t xml:space="preserve">Implied terminal EV/EBITDA</t>
  </si>
  <si>
    <t xml:space="preserve">Enterprise value at each year end</t>
  </si>
  <si>
    <t xml:space="preserve">Enterprise value at valuation date</t>
  </si>
  <si>
    <t xml:space="preserve">Debt at target ratio, opening</t>
  </si>
  <si>
    <t xml:space="preserve">Interest on opening debt</t>
  </si>
  <si>
    <t xml:space="preserve">Interest tax shield</t>
  </si>
  <si>
    <t xml:space="preserve">Capital cash flow</t>
  </si>
  <si>
    <t xml:space="preserve">Discount factor at rho</t>
  </si>
  <si>
    <t xml:space="preserve">Present value of CCF</t>
  </si>
  <si>
    <t xml:space="preserve">Sum of PV of explicit CCF</t>
  </si>
  <si>
    <t xml:space="preserve">Terminal value at rho</t>
  </si>
  <si>
    <t xml:space="preserve">FCFF (unlevered)</t>
  </si>
  <si>
    <t xml:space="preserve">PV of FCFF at rho</t>
  </si>
  <si>
    <t xml:space="preserve">PV of tax shield at rho</t>
  </si>
  <si>
    <t xml:space="preserve">Terminal unlevered value</t>
  </si>
  <si>
    <t xml:space="preserve">Unlevered enterprise value (Vu)</t>
  </si>
  <si>
    <t xml:space="preserve">Sum of PV of explicit tax shields</t>
  </si>
  <si>
    <t xml:space="preserve">Terminal value of tax shield</t>
  </si>
  <si>
    <t xml:space="preserve">PV of interest tax shield</t>
  </si>
  <si>
    <t xml:space="preserve">The interest tax shield is worth almost nothing here because Ambuja has essentially no debt. That is itself a finding: the company creates no value through leverage, and any argument for it must rest entirely on operations.</t>
  </si>
  <si>
    <t xml:space="preserve">Less: Interest after tax</t>
  </si>
  <si>
    <t xml:space="preserve">Add: Net new borrowing</t>
  </si>
  <si>
    <t xml:space="preserve">Discount factor at Ke</t>
  </si>
  <si>
    <t xml:space="preserve">PV of FCFE</t>
  </si>
  <si>
    <t xml:space="preserve">Sum of PV of explicit FCFE</t>
  </si>
  <si>
    <t xml:space="preserve">Terminal equity value</t>
  </si>
  <si>
    <t xml:space="preserve">PV of terminal equity value</t>
  </si>
  <si>
    <t xml:space="preserve">Equity value of operations</t>
  </si>
  <si>
    <t xml:space="preserve">Less: Debt in excess of the target level</t>
  </si>
  <si>
    <t xml:space="preserve">Capital charge (WACC x opening capital)</t>
  </si>
  <si>
    <t xml:space="preserve">Economic value added</t>
  </si>
  <si>
    <t xml:space="preserve">PV of EVA</t>
  </si>
  <si>
    <t xml:space="preserve">Sum of PV of explicit EVA</t>
  </si>
  <si>
    <t xml:space="preserve">Terminal value of EVA</t>
  </si>
  <si>
    <t xml:space="preserve">PV of terminal EVA</t>
  </si>
  <si>
    <t xml:space="preserve">EVA is NEGATIVE in every forecast year. NOPAT never covers the capital charge, which is the arithmetic statement of the central finding: Ambuja earns less on capital than capital costs. Enterprise value therefore sits BELOW invested capital, which is exactly what the theory predicts and is not an error.</t>
  </si>
  <si>
    <t xml:space="preserve">Reconciliation of the five valuation methods</t>
  </si>
  <si>
    <t xml:space="preserve">Method</t>
  </si>
  <si>
    <t xml:space="preserve">Discount rate</t>
  </si>
  <si>
    <t xml:space="preserve">Value per share</t>
  </si>
  <si>
    <t xml:space="preserve">Difference vs FCFF</t>
  </si>
  <si>
    <t xml:space="preserve">WACC</t>
  </si>
  <si>
    <t xml:space="preserve">rho</t>
  </si>
  <si>
    <t xml:space="preserve">Ke</t>
  </si>
  <si>
    <t xml:space="preserve">equity method</t>
  </si>
  <si>
    <t xml:space="preserve">Maximum absolute difference</t>
  </si>
  <si>
    <t xml:space="preserve">Status</t>
  </si>
  <si>
    <t xml:space="preserve">Agreement across the five methods proves internal consistency and nothing more. It says nothing about whether the assumptions are right.</t>
  </si>
  <si>
    <t xml:space="preserve">Terminal value: Gordon and exit multiple cross check</t>
  </si>
  <si>
    <t xml:space="preserve">Growth decomposition, built multiplicatively</t>
  </si>
  <si>
    <t xml:space="preserve">(1+real)(1+inflation)-1, NOT real plus inflation.</t>
  </si>
  <si>
    <t xml:space="preserve">Terminal g as a fraction of nominal GDP</t>
  </si>
  <si>
    <t xml:space="preserve">The editable driver. Same fraction as UltraTech, so the two companies are treated consistently.</t>
  </si>
  <si>
    <t xml:space="preserve">Derived, not typed.</t>
  </si>
  <si>
    <t xml:space="preserve">Method A: Gordon growth on a steady state terminal year</t>
  </si>
  <si>
    <t xml:space="preserve">Excludes goodwill: organic growth does not require buying more of it.</t>
  </si>
  <si>
    <t xml:space="preserve">Implied terminal ROIC</t>
  </si>
  <si>
    <t xml:space="preserve">Implied reinvestment rate</t>
  </si>
  <si>
    <t xml:space="preserve">Equals g divided by terminal ROIC, as steady state requires.</t>
  </si>
  <si>
    <t xml:space="preserve">Terminal value, Gordon</t>
  </si>
  <si>
    <t xml:space="preserve">Method B: exit multiple cross check</t>
  </si>
  <si>
    <t xml:space="preserve">Terminal year EBITDA</t>
  </si>
  <si>
    <t xml:space="preserve">Implied exit EV/EBITDA from Method A</t>
  </si>
  <si>
    <t xml:space="preserve">Peer median EV/EBITDA</t>
  </si>
  <si>
    <t xml:space="preserve">Terminal growth the peer multiple would require</t>
  </si>
  <si>
    <t xml:space="preserve">MULTIPLIER CONSISTENCY: the two methods do NOT bracket each other. Method A implies roughly 4.6x against a peer median of 19.37x. Solving the peer multiple back for growth gives 10.99% in perpetuity, which is ABOVE nominal GDP growth of 10.76%. A company cannot grow faster than the economy forever. We therefore take the position that the peer multiple is the implausible end of the range, and hedge by weighting a 10.0x exit case at half the target price in the report. This is recorded as a PARTIAL on the Dashboard rather than smoothed over.</t>
  </si>
  <si>
    <t xml:space="preserve">MULTIPLIER CONSISTENCY: is the implied multiple an outcome of our own fundamentals?</t>
  </si>
  <si>
    <t xml:space="preserve">The test is NOT whether our multiple equals the peer multiple. It is whether the multiple our model implies is arithmetically consistent with the growth, return on capital and discount rate the model itself uses. A multiple is an OUTCOME of those three, never an input. If the two agree, the model is internally consistent and the multiple can be reported as a result.</t>
  </si>
  <si>
    <t xml:space="preserve">Terminal NOPAT divided by terminal EBITDA</t>
  </si>
  <si>
    <t xml:space="preserve">Terminal ROIC</t>
  </si>
  <si>
    <t xml:space="preserve">Terminal growth rate g</t>
  </si>
  <si>
    <t xml:space="preserve">Reinvestment rate = g / ROIC</t>
  </si>
  <si>
    <t xml:space="preserve">JUSTIFIED EV/EBITDA = (NOPAT/EBITDA)(1 - g/ROIC)/(WACC - g)</t>
  </si>
  <si>
    <t xml:space="preserve">Model implied exit EV/EBITDA</t>
  </si>
  <si>
    <t xml:space="preserve">Difference</t>
  </si>
  <si>
    <t xml:space="preserve">VERDICT</t>
  </si>
  <si>
    <t xml:space="preserve">On this test the model PASSES. The separate observation that the PEER multiple of about 19x implies perpetual growth above nominal GDP is a finding about the peer set, reported in the relative valuation section, not a failure of internal consistency in this model. Conflating the two would require us to adopt a multiple we have shown to be arithmetically impossible.</t>
  </si>
  <si>
    <t xml:space="preserve">WACC against terminal growth: LIVE, value per share in Rs</t>
  </si>
  <si>
    <t xml:space="preserve">WACC \ terminal g</t>
  </si>
  <si>
    <t xml:space="preserve">2%</t>
  </si>
  <si>
    <t xml:space="preserve">3%</t>
  </si>
  <si>
    <t xml:space="preserve">4%</t>
  </si>
  <si>
    <t xml:space="preserve">5%</t>
  </si>
  <si>
    <t xml:space="preserve">6%</t>
  </si>
  <si>
    <t xml:space="preserve">Read the direction carefully, because it changes sign across the forecast. In the EARLY years Ambuja earns about 7.2% on capital against a WACC of 11.03%, so growth there destroys value. By the TERMINAL year this model assumes return on capital reaches 12.1%, above the WACC, so terminal growth creates value and the grid slopes UPWARD with g: Rs 116 at 2% rising to Rs 134 at 6%, holding WACC at 11%. An earlier draft of this workbook asserted the opposite and was wrong. The real diagnostic is the crossing point: everything depends on whether return on capital actually climbs through the cost of capital, which is an assumption, not an observation. Ambuja has not earned above its cost of capital in either year of consolidated history available.</t>
  </si>
  <si>
    <t xml:space="preserve">What the traded price of Rs 400.90 would require</t>
  </si>
  <si>
    <t xml:space="preserve">Lever</t>
  </si>
  <si>
    <t xml:space="preserve">Model base case</t>
  </si>
  <si>
    <t xml:space="preserve">Needed for Rs 400.90</t>
  </si>
  <si>
    <t xml:space="preserve">Terminal ROIC (operating)</t>
  </si>
  <si>
    <t xml:space="preserve">11.4%</t>
  </si>
  <si>
    <t xml:space="preserve">Well above 15%, sustained</t>
  </si>
  <si>
    <t xml:space="preserve">EBITDA per tonne by FY2035-36</t>
  </si>
  <si>
    <t xml:space="preserve">Rs 1,544</t>
  </si>
  <si>
    <t xml:space="preserve">Above Rs 2,000</t>
  </si>
  <si>
    <t xml:space="preserve">Capacity utilisation by FY2035-36</t>
  </si>
  <si>
    <t xml:space="preserve">85%</t>
  </si>
  <si>
    <t xml:space="preserve">Above 90%, at full capacity pricing</t>
  </si>
  <si>
    <t xml:space="preserve">Implied equity value</t>
  </si>
  <si>
    <t xml:space="preserve">about Rs 30,000 cr</t>
  </si>
  <si>
    <t xml:space="preserve">Rs 99,095 cr, a 3.3 times uplift</t>
  </si>
  <si>
    <t xml:space="preserve">For context, a sell side house modelled EBITDA of Rs 8,477 crore for FY2025-26 in December 2025, nine months into the year. Ambuja reported Rs 6,539 crore, a 30% miss, on a revenue estimate that was accurate to within 2.7%. The entire error was margin. Their forward margins of 23.7% and 25.2% carry their whole target price. Treat any forecast of a rapid margin recovery with that record in mind.</t>
  </si>
  <si>
    <t xml:space="preserve">Relative Valuation: Ambuja Cements</t>
  </si>
  <si>
    <t xml:space="preserve">Peer multiples are an OUTCOME to check the DCF against, never the thing that sets the value. Read this sheet after the DCF, not before.</t>
  </si>
  <si>
    <t xml:space="preserve">Ambuja</t>
  </si>
  <si>
    <t xml:space="preserve">UltraTech</t>
  </si>
  <si>
    <t xml:space="preserve">Shree</t>
  </si>
  <si>
    <t xml:space="preserve">JK</t>
  </si>
  <si>
    <t xml:space="preserve">Ramco</t>
  </si>
  <si>
    <t xml:space="preserve">SUBJECT</t>
  </si>
  <si>
    <t xml:space="preserve">Peer</t>
  </si>
  <si>
    <t xml:space="preserve">Net debt</t>
  </si>
  <si>
    <t xml:space="preserve">Normalised PAT</t>
  </si>
  <si>
    <t xml:space="preserve">Net worth</t>
  </si>
  <si>
    <t xml:space="preserve">Diluted shares (crore)</t>
  </si>
  <si>
    <t xml:space="preserve">cr</t>
  </si>
  <si>
    <t xml:space="preserve">Basis of accounts</t>
  </si>
  <si>
    <t xml:space="preserve">CONSOLIDATED FY2025-26</t>
  </si>
  <si>
    <t xml:space="preserve">Standalone TTM to Jun-26</t>
  </si>
  <si>
    <t xml:space="preserve">Multiples</t>
  </si>
  <si>
    <t xml:space="preserve">EV/Sales</t>
  </si>
  <si>
    <t xml:space="preserve">P/E (normalised)</t>
  </si>
  <si>
    <t xml:space="preserve">P/B</t>
  </si>
  <si>
    <t xml:space="preserve">ROE</t>
  </si>
  <si>
    <t xml:space="preserve">Revenue growth</t>
  </si>
  <si>
    <t xml:space="preserve">Peer statistics (peers only, subject excluded)</t>
  </si>
  <si>
    <t xml:space="preserve">Multiple</t>
  </si>
  <si>
    <t xml:space="preserve">Min</t>
  </si>
  <si>
    <t xml:space="preserve">P25</t>
  </si>
  <si>
    <t xml:space="preserve">Median</t>
  </si>
  <si>
    <t xml:space="preserve">P75</t>
  </si>
  <si>
    <t xml:space="preserve">Max</t>
  </si>
  <si>
    <t xml:space="preserve">Mcap weighted</t>
  </si>
  <si>
    <t xml:space="preserve">Implied value of Ambuja Cements</t>
  </si>
  <si>
    <t xml:space="preserve">Peer P25</t>
  </si>
  <si>
    <t xml:space="preserve">Peer median</t>
  </si>
  <si>
    <t xml:space="preserve">Peer P75</t>
  </si>
  <si>
    <t xml:space="preserve">Peer EV/EBITDA applied</t>
  </si>
  <si>
    <t xml:space="preserve">Implied price per share (EV/EBITDA)</t>
  </si>
  <si>
    <t xml:space="preserve">Peer P/E applied</t>
  </si>
  <si>
    <t xml:space="preserve">Implied price per share (P/E)</t>
  </si>
  <si>
    <t xml:space="preserve">Peer P/B applied</t>
  </si>
  <si>
    <t xml:space="preserve">Implied price per share (P/B)</t>
  </si>
  <si>
    <t xml:space="preserve">Where the DCF sits against the peer set</t>
  </si>
  <si>
    <t xml:space="preserve">Approach</t>
  </si>
  <si>
    <t xml:space="preserve">Gap to market</t>
  </si>
  <si>
    <t xml:space="preserve">DCF (this workbook, all five methods)</t>
  </si>
  <si>
    <t xml:space="preserve">Relative: peer median EV/EBITDA</t>
  </si>
  <si>
    <t xml:space="preserve">Relative: peer median P/E</t>
  </si>
  <si>
    <t xml:space="preserve">Relative: peer median P/B</t>
  </si>
  <si>
    <t xml:space="preserve">Market price</t>
  </si>
  <si>
    <t xml:space="preserve">DCF implied EV/EBITDA</t>
  </si>
  <si>
    <t xml:space="preserve">Compare with the peer median above. This is the multiplier consistency check.</t>
  </si>
  <si>
    <t xml:space="preserve">CAUTION ON THE P/B ROW ABOVE. Applying a peer P/B to a company whose ROE differs sharply from the peer set is not a valuation, it is a category error. Across these five companies P/B tracks ROE closely: JK Cement at 5.6x on a 16% ROE, Shree at 3.7x on 7%, Ambuja at 1.7x on 4%. A company earning a lower return SHOULD trade at a lower multiple of book. The implied P/B values are shown for completeness and because the pairing itself is the diagnostic, but they should NOT be carried into a conclusion without adjusting for the ROE difference.</t>
  </si>
  <si>
    <t xml:space="preserve">This is the most important exhibit in the Ambuja workbook because the two approaches DISAGREE. Ambuja trades BELOW the peer median on EV/EBITDA, so relative valuation makes it look roughly a quarter cheap, while the DCF says it is worth about Rs 115 against a traded Rs 401. The resolution is in the P/B row above: EV/EBITDA cannot see the Rs 22,979 crore of goodwill and intangibles Ambuja capitalised on its acquisitions, and P/B can. Ambuja's P/B of 1.67x is the lowest in the set and so is its ROE. Across the peer set P/B tracks ROE closely, so Ambuja is not cheap, it is correctly priced for poor returns.</t>
  </si>
  <si>
    <t xml:space="preserve">READ THIS ALONGSIDE THE DCF, NOT INSTEAD OF IT. The apparent EV/EBITDA discount is an artifact of a multiple that ignores acquired goodwill. Return on invested capital including goodwill runs from 4.7% to only 9.0% across the ten year forecast and never reaches the 11.03% cost of capital. A company that cannot earn its cost of capital should trade below book, and Ambuja does. The cheapness is the diagnosis, not the opportunity.</t>
  </si>
  <si>
    <t xml:space="preserve">BASIS WARNING. Ambuja is carried on a CONSOLIDATED basis and every other company on a standalone basis. This is necessary, not sloppy: Ambuja held 50.05% of the listed ACC plus majority stakes in Orient, Sanghi and Penna at the valuation date, so its market capitalisation prices the whole group while its standalone EBITDA excludes ACC entirely. Dividing one by the other printed 35x. On a consolidated basis with the non-controlling interest added to enterprise value it is 17x. For the other four companies standalone and consolidated differ by under 10%, so the problem does not arise. Ambuja is also one quarter behind the others, on FY2025-26 rather than TTM to June 2026, because its consolidated Q1 filing is a scanned image from which finance costs could not be read reliably and guessing them was rejected.</t>
  </si>
  <si>
    <t xml:space="preserve">THE MULTIPLE VERSUS THE RETURN: why a lower EV/EBITDA does not mean cheap</t>
  </si>
  <si>
    <t xml:space="preserve">This block answers the obvious objection to a SELL on Ambuja: it trades BELOW the peer median on EV/EBITDA, so how can it be expensive? The answer is that EV/EBITDA measures what you pay for a stream of operating profit and says nothing about how much CAPITAL was consumed to produce it. Ambuja bought its EBITDA and capitalised Rs 22,979 crore of goodwill doing so; UltraTech largely built its own. The multiple cannot see that difference. Enterprise value to invested capital can, and so can price to book.</t>
  </si>
  <si>
    <t xml:space="preserve">Measure</t>
  </si>
  <si>
    <t xml:space="preserve">Ambuja as a percent of UltraTech</t>
  </si>
  <si>
    <t xml:space="preserve">Enterprise value (Rs cr)</t>
  </si>
  <si>
    <t xml:space="preserve">Invested capital (Rs cr)</t>
  </si>
  <si>
    <t xml:space="preserve">EBITDA (Rs cr)</t>
  </si>
  <si>
    <t xml:space="preserve">EV / EBITDA</t>
  </si>
  <si>
    <t xml:space="preserve">EV / Invested capital</t>
  </si>
  <si>
    <t xml:space="preserve">ROIC today</t>
  </si>
  <si>
    <t xml:space="preserve">ROIC, our terminal year</t>
  </si>
  <si>
    <t xml:space="preserve">Return on equity</t>
  </si>
  <si>
    <t xml:space="preserve">Price to book</t>
  </si>
  <si>
    <t xml:space="preserve">READ THE THREE HIGHLIGHTED ROWS TOGETHER. Ambuja is priced at about 79% of UltraTech's EV/EBITDA, so it looks roughly a fifth cheaper. It is priced at about 43% of UltraTech's enterprise value per rupee of invested capital. But it earns only about 31% of UltraTech's return on that capital. The discount is nowhere near large enough for the gap in returns, and that is the whole answer: the cheaper stock is the larger SELL.</t>
  </si>
  <si>
    <t xml:space="preserve">What return on capital each company's price requires</t>
  </si>
  <si>
    <t xml:space="preserve">Steady state identity: EV/IC = (ROIC - g) / (WACC - g)</t>
  </si>
  <si>
    <t xml:space="preserve">Verdict</t>
  </si>
  <si>
    <t xml:space="preserve">Terminal growth g</t>
  </si>
  <si>
    <t xml:space="preserve">JUSTIFIED EV/IC on today's ROIC</t>
  </si>
  <si>
    <t xml:space="preserve">JUSTIFIED EV/IC on terminal ROIC</t>
  </si>
  <si>
    <t xml:space="preserve">ACTUAL EV/IC at the traded price</t>
  </si>
  <si>
    <t xml:space="preserve">Actual as a multiple of justified (terminal ROIC)</t>
  </si>
  <si>
    <t xml:space="preserve">THE DECISIVE NUMBERS. On our terminal returns, UltraTech's price is about 1.9 times what its return on capital justifies and Ambuja's is about 3.6 times. On TODAY'S return on capital Ambuja's justified multiple is NEGATIVE: at a 3.3% return and 7.0% growth, every rupee reinvested destroys value, so no positive multiple of invested capital is warranted at all. This is the sharpest statement of the investment case and it explains why the two SELL recommendations are consistent rather than contradictory. We are not claiming Ambuja is mispriced against its sector. We are claiming the SECTOR is mispriced against the cash it generates, and Ambuja is the member with the weakest returns. Note that UltraTech is itself one of the peers in the median: our own model says it is 51% overvalued, so a peer median built from such companies cannot be used to argue that anything is cheap.</t>
  </si>
  <si>
    <t xml:space="preserve">Consistency Dashboard</t>
  </si>
  <si>
    <t xml:space="preserve">The five consistencies</t>
  </si>
  <si>
    <t xml:space="preserve">Consistency</t>
  </si>
  <si>
    <t xml:space="preserve">Evidence and remaining gap</t>
  </si>
  <si>
    <t xml:space="preserve">PASS</t>
  </si>
  <si>
    <t xml:space="preserve">Volume is capacity times utilisation, so growth is tied to physical assets. Capex is an explicit input anchored to the expansion plan, never held flat while volume rises. The terminal year is forced to steady state with reinvestment equal to g times OPERATING invested capital, which is the condition that makes EVA reconcile.</t>
  </si>
  <si>
    <t xml:space="preserve">Risk</t>
  </si>
  <si>
    <t xml:space="preserve">FCFF at WACC, CCF and APV at the unlevered rho, FCFE at Ke, EVA at WACC. Constant D/V rebalancing is assumed, so the tax shield is discounted at rho. With debt at 0.87% of enterprise value the choice is immaterial, but it is applied consistently regardless.</t>
  </si>
  <si>
    <t xml:space="preserve">Asset</t>
  </si>
  <si>
    <t xml:space="preserve">PARTIAL</t>
  </si>
  <si>
    <t xml:space="preserve">Other income is excluded from EBITDA, so cash and investments are non-operating and added back once in the bridge. The unlevered beta is Damodaran's cash corrected 0.90 for the same reason. Goodwill and intangibles are inside invested capital for the ROIC measure but excluded from terminal reinvestment, and both versions of ROIC are shown. GAP: depreciation is charged at 8.0% of OPERATING fixed assets, but the historical Rs 3,570 crore charge includes amortisation of the Rs 9,433 crore intangible balance, which this model holds flat and never amortises. The charge and the base do not match. Splitting depreciation of PPE from amortisation of intangibles would be more correct; the net effect is likely small because the model is already conservative, but it is a real inconsistency and should be quantified before submission.</t>
  </si>
  <si>
    <t xml:space="preserve">Liability</t>
  </si>
  <si>
    <t xml:space="preserve">Borrowings and leases sit in the WACC weights and in the bridge. Deferred tax liabilities are NOT in the WACC weights, because they bear no interest, but they ARE now deducted in the bridge as a one time liability under Driver 2, which is the conservative and internally consistent treatment. Non-controlling interest of Rs 12,499 crore is deducted because consolidated cash flows include 100% of partly owned subsidiaries; omitting it would overstate value by about Rs 51 per share.</t>
  </si>
  <si>
    <t xml:space="preserve">Multiplier</t>
  </si>
  <si>
    <t xml:space="preserve">The implied terminal EV/EBITDA is far below the cement peer median of 19.1x. The reverse question is the useful one: to justify the traded price the market must believe in a return on capital Ambuja has not earned in either year of available consolidated history. Position taken and evidenced on the Sensitivity sheet; the gap itself remains real.</t>
  </si>
  <si>
    <t xml:space="preserve">Audit checklist</t>
  </si>
  <si>
    <t xml:space="preserve">Five methods reconcile within 0.5%</t>
  </si>
  <si>
    <t xml:space="preserve">All five return the same value per share to six decimal places. See Reconciliation.</t>
  </si>
  <si>
    <t xml:space="preserve">WACC recomputes; weights market value; circularity handled</t>
  </si>
  <si>
    <t xml:space="preserve">Weights are market value based. Circularity is immaterial here: at a debt to equity of 0.87%, no plausible revision to equity value shifts the weights enough to change WACC in the second decimal. Stated on the Cost-of-Capital sheet rather than assumed.</t>
  </si>
  <si>
    <t xml:space="preserve">Debt grows at g where constant D/V is assumed</t>
  </si>
  <si>
    <t xml:space="preserve">Debt is set to D/V times enterprise value at every date and the net new borrowing line is visible on the FCFE sheet.</t>
  </si>
  <si>
    <t xml:space="preserve">Cash and investments: one treatment throughout</t>
  </si>
  <si>
    <t xml:space="preserve">Consistent across flows, beta and bridge.</t>
  </si>
  <si>
    <t xml:space="preserve">Every liability in WACC is subtracted in the bridge</t>
  </si>
  <si>
    <t xml:space="preserve">Verified line by line, including the non-controlling interest.</t>
  </si>
  <si>
    <t xml:space="preserve">Terminal: g &lt; WACC, built multiplicatively, reinvestment = g/RONIC</t>
  </si>
  <si>
    <t xml:space="preserve">g of 5.0% is built as (1+6.5%)(1+4.0%)-1 = 10.76% nominal taken at 46.46%, the SAME fraction as UltraTech, and sits well below the WACC of 11.03%. Reinvestment equals g divided by terminal ROIC exactly, and the terminal ROIC of 12.1% is only 0.2 points above the last explicit year, so there is no discontinuity at the boundary. An earlier draft used a lower fraction here on result driven reasoning that was also factually backwards; it has been corrected and the correction is documented on the Assumptions sheet rather than quietly applied.</t>
  </si>
  <si>
    <t xml:space="preserve">Tax: marginal statutory rate used</t>
  </si>
  <si>
    <t xml:space="preserve">25.168% throughout. The reported effective rate is MINUS 71% because the tax line is a net credit, so using it anywhere would be meaningless. The three drivers of that credit are documented in the Source Log.</t>
  </si>
  <si>
    <t xml:space="preserve">No DDT on post FY2020 flows</t>
  </si>
  <si>
    <t xml:space="preserve">None applied.</t>
  </si>
  <si>
    <t xml:space="preserve">Every input traces to the Source Log</t>
  </si>
  <si>
    <t xml:space="preserve">A Source Log exists and every input traces to it. Two open items: the 10 year G-Sec yield is a placeholder, and the merger swap ratios and dilution reached the model through broker research and must be re-sourced from the scheme filing.</t>
  </si>
  <si>
    <t xml:space="preserve">Sensitivity tables live linked</t>
  </si>
  <si>
    <t xml:space="preserve">The WACC by terminal growth grid recomputes from the forecast cash flows.</t>
  </si>
  <si>
    <t xml:space="preserve">Known weaknesses, stated rather than buried</t>
  </si>
  <si>
    <t xml:space="preserve">Two years of consolidated history</t>
  </si>
  <si>
    <t xml:space="preserve">The annual report provides FY2025-26 and a restated FY2024-25. Earlier consolidated years exist only in broker research. A ROIC trend asserted from two points is thin, and the report should say so.</t>
  </si>
  <si>
    <t xml:space="preserve">Restatements and a fifteen month year</t>
  </si>
  <si>
    <t xml:space="preserve">FY2024-25 was restated for the Sanghi and Penna amalgamation, and the transition year to March 2023 covered fifteen months. Any multi-year growth rate taken off this series without adjustment will be wrong.</t>
  </si>
  <si>
    <t xml:space="preserve">Merger in progress</t>
  </si>
  <si>
    <t xml:space="preserve">ACC, Orient, Sanghi and Penna are being merged into Ambuja. At the valuation date the structure was still a parent with listed subsidiaries. Both the pre-merger and post-merger share bases are shown on the Summary sheet.</t>
  </si>
  <si>
    <t xml:space="preserve">The 7 Golden Sanity Checks (Mohanty, Appendix 5A)</t>
  </si>
  <si>
    <t xml:space="preserve">Evidence</t>
  </si>
  <si>
    <t xml:space="preserve">Revenue growth plausible against GDP and TAM</t>
  </si>
  <si>
    <t xml:space="preserve">Volume CAGR of 4.8% and revenue growth below nominal GDP of 10.76%. Growth comes mainly from filling existing plants rather than from share gains, which is the conservative shape.</t>
  </si>
  <si>
    <t xml:space="preserve">Physical capacity supports projected volume</t>
  </si>
  <si>
    <t xml:space="preserve">Volume is BUILT as capacity times utilisation. Capacity rises 109 to 133 Mn.T against a company target of 119 Mn.T plus modest brownfield addition. Peak volume of 113.0 Mn.T sits inside capacity at all times, and utilisation of 85% is below the industry ceiling.</t>
  </si>
  <si>
    <t xml:space="preserve">Capex is sufficient to build the projected capacity</t>
  </si>
  <si>
    <t xml:space="preserve">Total capex of Rs 80,000 cr less maintenance of Rs 43,974 cr leaves growth capex of Rs 36,026 cr against capacity addition of 24.0 Mn.T, or about Rs 15,011 per tonne. That is well ABOVE the Rs 5,000 to 7,000 brownfield norm, which is conservative for valuation and is also consistent with Rs 9,085 cr of capital work in progress still to be commissioned and with the acquisitive history. Capex is not understated.</t>
  </si>
  <si>
    <t xml:space="preserve">Margin expansion realism</t>
  </si>
  <si>
    <t xml:space="preserve">EBITDA per tonne rises 74% over ten years, from Rs 886 to about Rs 1,544. The endpoint is 60% above the Rs 966 that UltraTech's best assets currently earn, which is demanding. It is deliberately so: we wanted the valuation to fail on the capital base rather than on a conservative operating forecast. A reader who regards Rs 1,544 as unreachable should note that the value would be LOWER still.</t>
  </si>
  <si>
    <t xml:space="preserve">Working capital sanity</t>
  </si>
  <si>
    <t xml:space="preserve">Net working capital held at minus 0.34% of revenue, essentially the FY2025-26 actual. No cash is manufactured from working capital.</t>
  </si>
  <si>
    <t xml:space="preserve">Terminal ROIC fades toward WACC</t>
  </si>
  <si>
    <t xml:space="preserve">Terminal ROIC on operating capital of 12.0% against a WACC of 11.375% is a spread of only 0.62 percentage points, which is a reasonable steady state for a commodity producer and does not assume perpetual super normal rents. Note that on invested capital INCLUDING goodwill the terminal return is well below the cost of capital, so the check passes comfortably on the measure that matters to shareholders.</t>
  </si>
  <si>
    <t xml:space="preserve">Terminal value dominance</t>
  </si>
  <si>
    <t xml:space="preserve">Terminal value is 71% of enterprise value, below the 80 to 90% threshold, and lower than it would be on a five year horizon. This is one reason the explicit forecast runs ten years.</t>
  </si>
  <si>
    <t xml:space="preserve">Applied from Prof. Mohanty's own audit framework, Appendix 5A of Book 29. The one item short of a full pass is margin expansion realism, and it is short in the direction that is against us: if EBITDA per tonne of Rs 1,544 is unreachable, the valuation is lower still. Note that the terminal ROIC fade check passes comfortably here, unlike the UltraTech model, because Ambuja's terminal spread over WACC is only 0.62 points.</t>
  </si>
  <si>
    <t xml:space="preserve">Ambuja Cements Ltd: Valuation Summary</t>
  </si>
  <si>
    <t xml:space="preserve">Consolidated. Rs crore and Rs per share. Valuation date 31 March 2026, market data at the 30 March close.</t>
  </si>
  <si>
    <t xml:space="preserve">Market</t>
  </si>
  <si>
    <t xml:space="preserve">Market price per share</t>
  </si>
  <si>
    <t xml:space="preserve">Rs 99,095 cr over 247.18 cr shares.</t>
  </si>
  <si>
    <t xml:space="preserve">Discounted cash flow, five methods</t>
  </si>
  <si>
    <t xml:space="preserve">Rate</t>
  </si>
  <si>
    <t xml:space="preserve">Upside / (downside)</t>
  </si>
  <si>
    <t xml:space="preserve">Merger adjustment: pre-merger versus post-merger share base</t>
  </si>
  <si>
    <t xml:space="preserve">Equity value</t>
  </si>
  <si>
    <t xml:space="preserve">Shares (crore)</t>
  </si>
  <si>
    <t xml:space="preserve">Pre-merger: NCI deducted, current shares</t>
  </si>
  <si>
    <t xml:space="preserve">Post-merger: NCI acquired, shares up 13.7%</t>
  </si>
  <si>
    <t xml:space="preserve">The two routes should give a similar answer, and they do. Pre-merger deducts the non-controlling interest at book and divides by today's shares. Post-merger keeps the whole consolidated equity and divides by the enlarged share count. The small difference is the discount at which minorities are being acquired, which is the source of the value accretion the company and the sell side both point to. Re-source the 13.7% dilution from the scheme filing before relying on it.</t>
  </si>
  <si>
    <t xml:space="preserve">The Rs 2,338 crore tax credit: what each driver does to value</t>
  </si>
  <si>
    <t xml:space="preserve">Nature</t>
  </si>
  <si>
    <t xml:space="preserve">Valuation treatment</t>
  </si>
  <si>
    <t xml:space="preserve">Impact (Rs cr)</t>
  </si>
  <si>
    <t xml:space="preserve">Per share</t>
  </si>
  <si>
    <t xml:space="preserve">1. Litigation provisions released</t>
  </si>
  <si>
    <t xml:space="preserve">Non-cash, one-off</t>
  </si>
  <si>
    <t xml:space="preserve">Provision reversal excluded: it never entered the cash flows because tax is charged at the statutory rate throughout.</t>
  </si>
  <si>
    <t xml:space="preserve">1a. Tax paid under protest</t>
  </si>
  <si>
    <t xml:space="preserve">REAL CASH, recoverable</t>
  </si>
  <si>
    <t xml:space="preserve">Added as a non-operating asset. Sits in other non-current assets, outside operating invested capital, so it was being missed.</t>
  </si>
  <si>
    <t xml:space="preserve">2. Deferred tax liabilities</t>
  </si>
  <si>
    <t xml:space="preserve">Real liability, one-off</t>
  </si>
  <si>
    <t xml:space="preserve">Deducted in the bridge as a single drop, not amortised.</t>
  </si>
  <si>
    <t xml:space="preserve">3. Section 72A loss shelter</t>
  </si>
  <si>
    <t xml:space="preserve">Real but SHRINKING</t>
  </si>
  <si>
    <t xml:space="preserve">Memo only, Rs 345.78 cr consolidated covering losses AND unabsorbed depreciation together. Already netted inside Driver 2.</t>
  </si>
  <si>
    <t xml:space="preserve">Net adjustment</t>
  </si>
  <si>
    <t xml:space="preserve">Two checks were run against the report and both changed the answer. FIRST, the disputed tax was NOT purely a book entry: Note 53 shows Rs 614.10 crore of consolidated duty and taxes paid under protest carried as a non-current asset, down from Rs 628.88 crore, which is cash already handed over and recoverable on a favourable ruling. It sat outside operating invested capital and was being missed entirely; it is now added, worth about Rs 2.48 per share. SECOND, Sanghi and Penna did NOT bring a larger separate pool of business losses. The deferred tax note is headed Unabsorbed depreciation AND Business Losses together, so the single consolidated balance of Rs 345.78 crore already covers both. More usefully, that balance is SHRINKING: Rs 509.66 crore opening, Rs 163.88 crore consumed in the year, Rs 345.78 crore remaining. The shelter is being used up rather than accumulating, so Driver 3 is worth less over time, not more. Driver 2 remains the only item that moves the value materially, and it moves it down.</t>
  </si>
  <si>
    <t xml:space="preserve">Relative valuation cross-check</t>
  </si>
  <si>
    <t xml:space="preserve">Ambuja traded</t>
  </si>
  <si>
    <t xml:space="preserve">Ambuja DCF implied</t>
  </si>
  <si>
    <t xml:space="preserve">EV/EBITDA (consolidated)</t>
  </si>
  <si>
    <t xml:space="preserve">19.1x</t>
  </si>
  <si>
    <t xml:space="preserve">about 17.0x</t>
  </si>
  <si>
    <t xml:space="preserve">see FCFF sheet</t>
  </si>
  <si>
    <t xml:space="preserve">3.7x</t>
  </si>
  <si>
    <t xml:space="preserve">1.9x</t>
  </si>
  <si>
    <t xml:space="preserve">lowest in the peer set</t>
  </si>
  <si>
    <t xml:space="preserve">IMPORTANT: the comps workbook computes Ambuja's EV/EBITDA on STANDALONE earnings against a group market capitalisation, which prints about 35x and is wrong. On a consolidated basis, adding back the non-controlling interest, the multiple is roughly 17x, close to the peer median. Fix the comps workbook before quoting either number.</t>
  </si>
  <si>
    <t xml:space="preserve">Conclusion</t>
  </si>
  <si>
    <t xml:space="preserve">The five methods reconcile exactly, giving about Rs 122 per share pre-merger and Rs 151 post-merger, against a traded Rs 400.90. Ambuja is the harder of the two companies to value, and the reasons are worth stating precisely.
The central finding is that Ambuja earns far less on capital than capital costs. Return on invested capital including goodwill is 4.7% in FY2026-27 rising to only 7.3% by FY2031-32, against a WACC of 11.03%. Economic value added is NEGATIVE in every forecast year, which is why enterprise value sits below invested capital. The clearest single diagnostic is on the Sensitivity sheet: value RISES as terminal growth FALLS. When a company earns below its cost of capital, growth destroys value. Note however that the sensitivity grid slopes UPWARD with terminal growth, because this model assumes return on capital climbs to 12.1% by the terminal year, above the WACC. Whether that crossing actually happens is the entire investment case, and it is an assumption rather than anything observed: Ambuja has not earned above its cost of capital in either year of consolidated history available.
Three things explain the return. Utilisation is only about 68%, against 82% at UltraTech, so a large asset base is underworked. EBITDA per tonne is Rs 886 against a peer set earning well above that. And acquisitions left Rs 22,979 crore of goodwill and intangibles on the balance sheet, which is capital shareholders paid for and must earn a return on. Strip goodwill out and ROIC improves from 4.7% to 7.2%, which measures operating performance but flatters what shareholders actually earned.
The bull case is specific: utilisation climbing as recently added and acquired capacity fills, EBITDA per tonne recovering toward the peer set as the Sanghi, Penna, Orient and ACC integrations complete, and the merger removing holding company complexity and minority leakage. This model already assumes utilisation rises from 68% to 85% and EBITDA per tonne rises 74% over ten years, and still reaches only Rs 122. To reach the traded price the market must believe in a terminal return on capital above 15%, which Ambuja has not earned in either year of consolidated history available.
Two accounting distortions had to be removed before any of this was measurable. The reported tax line is a NET CREDIT of about Rs 2,338 crore, so reported profit exceeds profit before tax and the reported effective rate is minus 71%. Its three drivers are documented: roughly Rs 1,251 crore of earlier year litigation provisions released on favourable court decisions, roughly Rs 839 crore net from deferred tax reversals on the amalgamation, and roughly Rs 569 crore from carried forward losses unlocked under section 72A. The first two are non-recurring; only the tax shelter from the third, a deferred tax asset of Rs 280 crore on unabsorbed depreciation, is genuinely forward looking, and it is small enough not to move the answer. Everything here is computed at the statutory rate instead. Separately, FY2024-25 was restated for the amalgamation and the transition year to March 2023 covered fifteen months, so no growth rate should be taken off the reported series without adjustment.
Caveats. The G-Sec yield is still a placeholder. Consolidated history is only two years deep, so the return trend is asserted from two points. The merger terms reached this model through broker research and must be re-sourced from the scheme filing. And the implied terminal multiple sits far below the cement peer median, which is recorded as a PARTIAL on the Consistency Dashboard rather than smoothed over: either the peer set is expensively rated, or this model is too pessimistic on the recovery. Take a position and defend it.</t>
  </si>
</sst>
</file>

<file path=xl/styles.xml><?xml version="1.0" encoding="utf-8"?>
<styleSheet xmlns="http://schemas.openxmlformats.org/spreadsheetml/2006/main">
  <numFmts count="19">
    <numFmt numFmtId="164" formatCode="General"/>
    <numFmt numFmtId="165" formatCode="#,##0;\(#,##0\);\-"/>
    <numFmt numFmtId="166" formatCode="#,##0.00"/>
    <numFmt numFmtId="167" formatCode="0.0%;\(0.0%\);\-"/>
    <numFmt numFmtId="168" formatCode="0.00\x"/>
    <numFmt numFmtId="169" formatCode="#,##0.0;\(#,##0.0\);\-"/>
    <numFmt numFmtId="170" formatCode="#,##0"/>
    <numFmt numFmtId="171" formatCode="0.00%;\(0.00%\);\-"/>
    <numFmt numFmtId="172" formatCode="0.00"/>
    <numFmt numFmtId="173" formatCode="0.0000"/>
    <numFmt numFmtId="174" formatCode="#,##0.0"/>
    <numFmt numFmtId="175" formatCode="0.00%"/>
    <numFmt numFmtId="176" formatCode="0.000"/>
    <numFmt numFmtId="177" formatCode="0"/>
    <numFmt numFmtId="178" formatCode="\+0.0000;\-0.0000"/>
    <numFmt numFmtId="179" formatCode="0.0\x"/>
    <numFmt numFmtId="180" formatCode="0.000000"/>
    <numFmt numFmtId="181" formatCode="#,##0.000"/>
    <numFmt numFmtId="182" formatCode="0%"/>
  </numFmts>
  <fonts count="1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1"/>
      <color rgb="FF7F7F7F"/>
      <name val="Arial"/>
      <family val="0"/>
      <charset val="1"/>
    </font>
    <font>
      <b val="true"/>
      <sz val="11"/>
      <color rgb="FFFFFFFF"/>
      <name val="Arial"/>
      <family val="0"/>
      <charset val="1"/>
    </font>
    <font>
      <sz val="11"/>
      <color rgb="FF000000"/>
      <name val="Arial"/>
      <family val="0"/>
      <charset val="1"/>
    </font>
    <font>
      <b val="true"/>
      <sz val="11"/>
      <color rgb="FF000000"/>
      <name val="Arial"/>
      <family val="0"/>
      <charset val="1"/>
    </font>
    <font>
      <sz val="11"/>
      <color rgb="FF0000FF"/>
      <name val="Arial"/>
      <family val="0"/>
      <charset val="1"/>
    </font>
    <font>
      <b val="true"/>
      <sz val="11"/>
      <color rgb="FFC00000"/>
      <name val="Arial"/>
      <family val="0"/>
      <charset val="1"/>
    </font>
    <font>
      <u val="single"/>
      <sz val="11"/>
      <color rgb="FF0563C1"/>
      <name val="Arial"/>
      <family val="0"/>
      <charset val="1"/>
    </font>
    <font>
      <i val="true"/>
      <sz val="9"/>
      <color rgb="FF7F7F7F"/>
      <name val="Arial"/>
      <family val="0"/>
      <charset val="1"/>
    </font>
    <font>
      <b val="true"/>
      <sz val="13"/>
      <color rgb="FF1F3864"/>
      <name val="Arial"/>
      <family val="0"/>
      <charset val="1"/>
    </font>
    <font>
      <sz val="11"/>
      <color rgb="FF008000"/>
      <name val="Arial"/>
      <family val="0"/>
      <charset val="1"/>
    </font>
    <font>
      <b val="true"/>
      <sz val="11"/>
      <color rgb="FF008000"/>
      <name val="Arial"/>
      <family val="0"/>
      <charset val="1"/>
    </font>
    <font>
      <b val="true"/>
      <sz val="11"/>
      <color rgb="FF0000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C00000"/>
        <bgColor rgb="FF800000"/>
      </patternFill>
    </fill>
    <fill>
      <patternFill patternType="solid">
        <fgColor rgb="FFF8CBAD"/>
        <bgColor rgb="FFFFF2CC"/>
      </patternFill>
    </fill>
    <fill>
      <patternFill patternType="solid">
        <fgColor rgb="FFFFF2CC"/>
        <bgColor rgb="FFF2F2F2"/>
      </patternFill>
    </fill>
    <fill>
      <patternFill patternType="solid">
        <fgColor rgb="FFD9E2F3"/>
        <bgColor rgb="FFE2EFDA"/>
      </patternFill>
    </fill>
    <fill>
      <patternFill patternType="solid">
        <fgColor rgb="FFE2EFDA"/>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left" vertical="center" textRotation="0" wrapText="false" indent="1"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5" fontId="8" fillId="7"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8" fontId="8" fillId="7" borderId="1"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7" fontId="14" fillId="0" borderId="1" xfId="0" applyFont="true" applyBorder="true" applyAlignment="true" applyProtection="false">
      <alignment horizontal="general" vertical="bottom" textRotation="0" wrapText="false" indent="0" shrinkToFit="false"/>
      <protection locked="true" hidden="false"/>
    </xf>
    <xf numFmtId="167" fontId="14" fillId="7" borderId="1" xfId="0" applyFont="true" applyBorder="tru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general" vertical="bottom" textRotation="0" wrapText="false" indent="0" shrinkToFit="false"/>
      <protection locked="true" hidden="false"/>
    </xf>
    <xf numFmtId="169" fontId="14" fillId="0" borderId="1" xfId="0" applyFont="true" applyBorder="true" applyAlignment="tru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9" fillId="5" borderId="1" xfId="0" applyFont="true" applyBorder="true" applyAlignment="true" applyProtection="false">
      <alignment horizontal="general" vertical="bottom" textRotation="0" wrapText="false" indent="0" shrinkToFit="false"/>
      <protection locked="true" hidden="false"/>
    </xf>
    <xf numFmtId="170" fontId="9" fillId="5" borderId="1" xfId="0" applyFont="true" applyBorder="true" applyAlignment="true" applyProtection="false">
      <alignment horizontal="general" vertical="bottom" textRotation="0" wrapText="false" indent="0" shrinkToFit="false"/>
      <protection locked="true" hidden="false"/>
    </xf>
    <xf numFmtId="171" fontId="9" fillId="5"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72" fontId="9" fillId="5" borderId="1" xfId="0" applyFont="true" applyBorder="true" applyAlignment="tru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74" fontId="9" fillId="5" borderId="1" xfId="0" applyFont="true" applyBorder="true" applyAlignment="true" applyProtection="false">
      <alignment horizontal="general" vertical="bottom" textRotation="0" wrapText="false" indent="0" shrinkToFit="false"/>
      <protection locked="true" hidden="false"/>
    </xf>
    <xf numFmtId="167" fontId="9" fillId="5" borderId="1" xfId="0" applyFont="true" applyBorder="true" applyAlignment="true" applyProtection="false">
      <alignment horizontal="general" vertical="bottom" textRotation="0" wrapText="false" indent="0" shrinkToFit="false"/>
      <protection locked="true" hidden="false"/>
    </xf>
    <xf numFmtId="174" fontId="7" fillId="0" borderId="1" xfId="0" applyFont="true" applyBorder="true" applyAlignment="true" applyProtection="false">
      <alignment horizontal="general" vertical="bottom" textRotation="0" wrapText="false" indent="0" shrinkToFit="false"/>
      <protection locked="true" hidden="false"/>
    </xf>
    <xf numFmtId="174" fontId="8"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74" fontId="9"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71" fontId="14" fillId="0" borderId="1" xfId="0" applyFont="true" applyBorder="true" applyAlignment="true" applyProtection="false">
      <alignment horizontal="general" vertical="bottom" textRotation="0" wrapText="false" indent="0" shrinkToFit="false"/>
      <protection locked="true" hidden="false"/>
    </xf>
    <xf numFmtId="173" fontId="14" fillId="0" borderId="1" xfId="0" applyFont="true" applyBorder="true" applyAlignment="true" applyProtection="false">
      <alignment horizontal="general" vertical="bottom" textRotation="0" wrapText="false" indent="0" shrinkToFit="false"/>
      <protection locked="true" hidden="false"/>
    </xf>
    <xf numFmtId="171" fontId="8" fillId="7" borderId="1" xfId="0" applyFont="true" applyBorder="true" applyAlignment="true" applyProtection="false">
      <alignment horizontal="general" vertical="bottom" textRotation="0" wrapText="false" indent="0" shrinkToFit="false"/>
      <protection locked="true" hidden="false"/>
    </xf>
    <xf numFmtId="173" fontId="9" fillId="5" borderId="1" xfId="0" applyFont="true" applyBorder="true" applyAlignment="true" applyProtection="false">
      <alignment horizontal="general" vertical="bottom" textRotation="0" wrapText="false" indent="0" shrinkToFit="false"/>
      <protection locked="true" hidden="false"/>
    </xf>
    <xf numFmtId="175" fontId="9" fillId="5" borderId="1" xfId="0" applyFont="true" applyBorder="true" applyAlignment="true" applyProtection="false">
      <alignment horizontal="general" vertical="bottom" textRotation="0" wrapText="false" indent="0" shrinkToFit="false"/>
      <protection locked="true" hidden="false"/>
    </xf>
    <xf numFmtId="173" fontId="8" fillId="7" borderId="1" xfId="0" applyFont="true" applyBorder="true" applyAlignment="true" applyProtection="false">
      <alignment horizontal="general" vertical="bottom" textRotation="0" wrapText="false" indent="0" shrinkToFit="false"/>
      <protection locked="true" hidden="false"/>
    </xf>
    <xf numFmtId="176" fontId="8" fillId="7" borderId="1" xfId="0" applyFont="true" applyBorder="true" applyAlignment="true" applyProtection="false">
      <alignment horizontal="general" vertical="bottom" textRotation="0" wrapText="false" indent="0" shrinkToFit="false"/>
      <protection locked="true" hidden="false"/>
    </xf>
    <xf numFmtId="177" fontId="8" fillId="7" borderId="1" xfId="0" applyFont="true" applyBorder="true" applyAlignment="true" applyProtection="false">
      <alignment horizontal="general" vertical="bottom" textRotation="0" wrapText="false" indent="0" shrinkToFit="false"/>
      <protection locked="true" hidden="false"/>
    </xf>
    <xf numFmtId="178" fontId="8" fillId="7" borderId="1" xfId="0" applyFont="true" applyBorder="tru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76" fontId="8" fillId="0" borderId="1" xfId="0" applyFont="true" applyBorder="true" applyAlignment="true" applyProtection="false">
      <alignment horizontal="general" vertical="bottom" textRotation="0" wrapText="false" indent="0" shrinkToFit="false"/>
      <protection locked="true" hidden="false"/>
    </xf>
    <xf numFmtId="178" fontId="8" fillId="0" borderId="1" xfId="0" applyFont="true" applyBorder="true" applyAlignment="true" applyProtection="false">
      <alignment horizontal="general" vertical="bottom" textRotation="0" wrapText="false" indent="0" shrinkToFit="false"/>
      <protection locked="true" hidden="false"/>
    </xf>
    <xf numFmtId="165" fontId="8" fillId="8" borderId="1" xfId="0" applyFont="true" applyBorder="true" applyAlignment="tru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bottom" textRotation="0" wrapText="false" indent="0" shrinkToFit="false"/>
      <protection locked="true" hidden="false"/>
    </xf>
    <xf numFmtId="166" fontId="8" fillId="7" borderId="1" xfId="0" applyFont="true" applyBorder="true" applyAlignment="true" applyProtection="false">
      <alignment horizontal="general" vertical="bottom" textRotation="0" wrapText="false" indent="0" shrinkToFit="false"/>
      <protection locked="true" hidden="false"/>
    </xf>
    <xf numFmtId="179" fontId="7" fillId="0" borderId="1" xfId="0" applyFont="true" applyBorder="true" applyAlignment="tru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general" vertical="bottom" textRotation="0" wrapText="false" indent="0" shrinkToFit="false"/>
      <protection locked="true" hidden="false"/>
    </xf>
    <xf numFmtId="180" fontId="7" fillId="0" borderId="1" xfId="0" applyFont="true" applyBorder="true" applyAlignment="true" applyProtection="false">
      <alignment horizontal="general" vertical="bottom" textRotation="0" wrapText="false" indent="0" shrinkToFit="false"/>
      <protection locked="true" hidden="false"/>
    </xf>
    <xf numFmtId="180" fontId="8" fillId="0" borderId="1" xfId="0" applyFont="true" applyBorder="true" applyAlignment="true" applyProtection="false">
      <alignment horizontal="general" vertical="bottom" textRotation="0" wrapText="false" indent="0" shrinkToFit="false"/>
      <protection locked="true" hidden="false"/>
    </xf>
    <xf numFmtId="175" fontId="14" fillId="0" borderId="1" xfId="0" applyFont="true" applyBorder="true" applyAlignment="true" applyProtection="false">
      <alignment horizontal="general" vertical="bottom" textRotation="0" wrapText="false" indent="0" shrinkToFit="false"/>
      <protection locked="true" hidden="false"/>
    </xf>
    <xf numFmtId="168" fontId="9" fillId="5" borderId="1" xfId="0" applyFont="true" applyBorder="true" applyAlignment="true" applyProtection="false">
      <alignment horizontal="general" vertical="bottom" textRotation="0" wrapText="false" indent="0" shrinkToFit="false"/>
      <protection locked="true" hidden="false"/>
    </xf>
    <xf numFmtId="175" fontId="8" fillId="0" borderId="1"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70" fontId="8" fillId="7"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81" fontId="9" fillId="0" borderId="1"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6" fontId="8" fillId="8" borderId="1" xfId="0" applyFont="true" applyBorder="true" applyAlignment="true" applyProtection="false">
      <alignment horizontal="general" vertical="bottom" textRotation="0" wrapText="false" indent="0" shrinkToFit="false"/>
      <protection locked="true" hidden="false"/>
    </xf>
    <xf numFmtId="166" fontId="16" fillId="7" borderId="1" xfId="0" applyFont="true" applyBorder="true" applyAlignment="true" applyProtection="false">
      <alignment horizontal="general" vertical="bottom" textRotation="0" wrapText="false" indent="0" shrinkToFit="false"/>
      <protection locked="true" hidden="false"/>
    </xf>
    <xf numFmtId="167" fontId="8" fillId="8" borderId="1" xfId="0" applyFont="true" applyBorder="true" applyAlignment="true" applyProtection="false">
      <alignment horizontal="general" vertical="bottom" textRotation="0" wrapText="false" indent="0" shrinkToFit="false"/>
      <protection locked="true" hidden="false"/>
    </xf>
    <xf numFmtId="167" fontId="7" fillId="8"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82" fontId="7" fillId="0" borderId="1" xfId="0" applyFont="true" applyBorder="true" applyAlignment="true" applyProtection="false">
      <alignment horizontal="general" vertical="bottom" textRotation="0" wrapText="false" indent="0" shrinkToFit="false"/>
      <protection locked="true" hidden="false"/>
    </xf>
    <xf numFmtId="182" fontId="8" fillId="5"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8" fontId="8" fillId="5" borderId="1" xfId="0" applyFont="true" applyBorder="true" applyAlignment="true" applyProtection="false">
      <alignment horizontal="general" vertical="bottom" textRotation="0" wrapText="false" indent="0" shrinkToFit="false"/>
      <protection locked="true" hidden="false"/>
    </xf>
    <xf numFmtId="179" fontId="8" fillId="4"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4"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92"/>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row>
    <row r="5" customFormat="false" ht="15" hidden="false" customHeight="true" outlineLevel="0" collapsed="false">
      <c r="A5" s="5" t="n">
        <v>1</v>
      </c>
      <c r="B5" s="6" t="s">
        <v>5</v>
      </c>
      <c r="C5" s="7" t="s">
        <v>6</v>
      </c>
    </row>
    <row r="6" customFormat="false" ht="15" hidden="false" customHeight="true" outlineLevel="0" collapsed="false">
      <c r="A6" s="5" t="n">
        <v>2</v>
      </c>
      <c r="B6" s="6" t="s">
        <v>7</v>
      </c>
      <c r="C6" s="7" t="s">
        <v>8</v>
      </c>
    </row>
    <row r="7" customFormat="false" ht="15" hidden="false" customHeight="true" outlineLevel="0" collapsed="false">
      <c r="A7" s="5" t="n">
        <v>3</v>
      </c>
      <c r="B7" s="6" t="s">
        <v>9</v>
      </c>
      <c r="C7" s="7" t="s">
        <v>10</v>
      </c>
    </row>
    <row r="8" customFormat="false" ht="15" hidden="false" customHeight="true" outlineLevel="0" collapsed="false">
      <c r="A8" s="5" t="n">
        <v>4</v>
      </c>
      <c r="B8" s="6" t="s">
        <v>11</v>
      </c>
      <c r="C8" s="7" t="s">
        <v>12</v>
      </c>
    </row>
    <row r="9" customFormat="false" ht="15" hidden="false" customHeight="true" outlineLevel="0" collapsed="false">
      <c r="A9" s="5" t="n">
        <v>5</v>
      </c>
      <c r="B9" s="6" t="s">
        <v>13</v>
      </c>
      <c r="C9" s="7" t="s">
        <v>14</v>
      </c>
    </row>
    <row r="10" customFormat="false" ht="15" hidden="false" customHeight="true" outlineLevel="0" collapsed="false">
      <c r="A10" s="5" t="n">
        <v>6</v>
      </c>
      <c r="B10" s="6" t="s">
        <v>15</v>
      </c>
      <c r="C10" s="7" t="s">
        <v>16</v>
      </c>
    </row>
    <row r="11" customFormat="false" ht="15" hidden="false" customHeight="true" outlineLevel="0" collapsed="false">
      <c r="A11" s="5" t="n">
        <v>7</v>
      </c>
      <c r="B11" s="6" t="s">
        <v>17</v>
      </c>
      <c r="C11" s="7" t="s">
        <v>18</v>
      </c>
    </row>
    <row r="12" customFormat="false" ht="15" hidden="false" customHeight="true" outlineLevel="0" collapsed="false">
      <c r="A12" s="5" t="n">
        <v>8</v>
      </c>
      <c r="B12" s="6" t="s">
        <v>19</v>
      </c>
      <c r="C12" s="7" t="s">
        <v>20</v>
      </c>
    </row>
    <row r="13" customFormat="false" ht="15" hidden="false" customHeight="true" outlineLevel="0" collapsed="false">
      <c r="A13" s="5" t="n">
        <v>9</v>
      </c>
      <c r="B13" s="6" t="s">
        <v>21</v>
      </c>
      <c r="C13" s="7" t="s">
        <v>22</v>
      </c>
    </row>
    <row r="14" customFormat="false" ht="15" hidden="false" customHeight="true" outlineLevel="0" collapsed="false">
      <c r="A14" s="5" t="n">
        <v>10</v>
      </c>
      <c r="B14" s="6" t="s">
        <v>23</v>
      </c>
      <c r="C14" s="7" t="s">
        <v>24</v>
      </c>
    </row>
    <row r="15" customFormat="false" ht="15" hidden="false" customHeight="true" outlineLevel="0" collapsed="false">
      <c r="A15" s="5" t="n">
        <v>11</v>
      </c>
      <c r="B15" s="6" t="s">
        <v>25</v>
      </c>
      <c r="C15" s="7" t="s">
        <v>26</v>
      </c>
    </row>
    <row r="16" customFormat="false" ht="15" hidden="false" customHeight="true" outlineLevel="0" collapsed="false">
      <c r="A16" s="5" t="n">
        <v>12</v>
      </c>
      <c r="B16" s="6" t="s">
        <v>27</v>
      </c>
      <c r="C16" s="7" t="s">
        <v>28</v>
      </c>
    </row>
    <row r="17" customFormat="false" ht="15" hidden="false" customHeight="true" outlineLevel="0" collapsed="false">
      <c r="A17" s="5" t="n">
        <v>13</v>
      </c>
      <c r="B17" s="6" t="s">
        <v>29</v>
      </c>
      <c r="C17" s="7" t="s">
        <v>30</v>
      </c>
    </row>
    <row r="18" customFormat="false" ht="15" hidden="false" customHeight="true" outlineLevel="0" collapsed="false">
      <c r="A18" s="5" t="n">
        <v>14</v>
      </c>
      <c r="B18" s="6" t="s">
        <v>31</v>
      </c>
      <c r="C18" s="7" t="s">
        <v>32</v>
      </c>
    </row>
    <row r="19" customFormat="false" ht="15" hidden="false" customHeight="true" outlineLevel="0" collapsed="false">
      <c r="A19" s="5" t="n">
        <v>15</v>
      </c>
      <c r="B19" s="6" t="s">
        <v>33</v>
      </c>
      <c r="C19" s="7" t="s">
        <v>34</v>
      </c>
    </row>
    <row r="21" customFormat="false" ht="15" hidden="false" customHeight="true" outlineLevel="0" collapsed="false">
      <c r="A21" s="8" t="s">
        <v>35</v>
      </c>
      <c r="B21" s="8"/>
      <c r="C21" s="8"/>
    </row>
    <row r="22" customFormat="false" ht="60" hidden="false" customHeight="true" outlineLevel="0" collapsed="false">
      <c r="B22" s="9" t="s">
        <v>36</v>
      </c>
      <c r="C22" s="9"/>
    </row>
    <row r="23" customFormat="false" ht="60" hidden="false" customHeight="true" outlineLevel="0" collapsed="false">
      <c r="B23" s="9" t="s">
        <v>37</v>
      </c>
      <c r="C23" s="9"/>
    </row>
    <row r="24" customFormat="false" ht="75" hidden="false" customHeight="true" outlineLevel="0" collapsed="false">
      <c r="B24" s="9" t="s">
        <v>38</v>
      </c>
      <c r="C24" s="9"/>
    </row>
    <row r="25" customFormat="false" ht="45" hidden="false" customHeight="true" outlineLevel="0" collapsed="false">
      <c r="B25" s="9" t="s">
        <v>39</v>
      </c>
      <c r="C25" s="9"/>
    </row>
    <row r="26" customFormat="false" ht="120" hidden="false" customHeight="true" outlineLevel="0" collapsed="false">
      <c r="B26" s="9" t="s">
        <v>40</v>
      </c>
      <c r="C26" s="9"/>
    </row>
    <row r="28" customFormat="false" ht="15" hidden="false" customHeight="true" outlineLevel="0" collapsed="false">
      <c r="A28" s="10" t="s">
        <v>41</v>
      </c>
      <c r="B28" s="10"/>
      <c r="C28" s="10"/>
    </row>
    <row r="29" customFormat="false" ht="15" hidden="false" customHeight="true" outlineLevel="0" collapsed="false">
      <c r="B29" s="9" t="s">
        <v>42</v>
      </c>
      <c r="C29" s="9"/>
    </row>
    <row r="30" customFormat="false" ht="60" hidden="false" customHeight="true" outlineLevel="0" collapsed="false">
      <c r="B30" s="9" t="s">
        <v>43</v>
      </c>
      <c r="C30" s="9"/>
    </row>
    <row r="31" customFormat="false" ht="30" hidden="false" customHeight="true" outlineLevel="0" collapsed="false">
      <c r="B31" s="9" t="s">
        <v>44</v>
      </c>
      <c r="C31" s="9"/>
    </row>
  </sheetData>
  <mergeCells count="10">
    <mergeCell ref="A21:C21"/>
    <mergeCell ref="B22:C22"/>
    <mergeCell ref="B23:C23"/>
    <mergeCell ref="B24:C24"/>
    <mergeCell ref="B25:C25"/>
    <mergeCell ref="B26:C26"/>
    <mergeCell ref="A28:C28"/>
    <mergeCell ref="B29:C29"/>
    <mergeCell ref="B30:C30"/>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2"/>
    <col collapsed="false" customWidth="true" hidden="false" outlineLevel="0" max="3" min="3" style="1" width="20"/>
    <col collapsed="false" customWidth="true" hidden="false" outlineLevel="0" max="4" min="4" style="1" width="46"/>
    <col collapsed="false" customWidth="true" hidden="false" outlineLevel="0" max="5" min="5" style="1" width="26"/>
    <col collapsed="false" customWidth="true" hidden="false" outlineLevel="0" max="6" min="6" style="1" width="46"/>
    <col collapsed="false" customWidth="true" hidden="false" outlineLevel="0" max="7" min="7" style="1" width="24"/>
  </cols>
  <sheetData>
    <row r="1" customFormat="false" ht="17.25" hidden="false" customHeight="true" outlineLevel="0" collapsed="false">
      <c r="A1" s="2" t="s">
        <v>45</v>
      </c>
    </row>
    <row r="3" customFormat="false" ht="15" hidden="false" customHeight="true" outlineLevel="0" collapsed="false">
      <c r="A3" s="4" t="s">
        <v>46</v>
      </c>
      <c r="B3" s="4" t="s">
        <v>47</v>
      </c>
      <c r="C3" s="4" t="s">
        <v>48</v>
      </c>
      <c r="D3" s="4" t="s">
        <v>49</v>
      </c>
      <c r="E3" s="4" t="s">
        <v>50</v>
      </c>
      <c r="F3" s="4" t="s">
        <v>51</v>
      </c>
      <c r="G3" s="4" t="s">
        <v>52</v>
      </c>
    </row>
    <row r="4" customFormat="false" ht="15" hidden="false" customHeight="true" outlineLevel="0" collapsed="false">
      <c r="A4" s="5" t="n">
        <v>1</v>
      </c>
      <c r="B4" s="11" t="s">
        <v>53</v>
      </c>
      <c r="C4" s="11" t="s">
        <v>54</v>
      </c>
      <c r="D4" s="11" t="s">
        <v>55</v>
      </c>
      <c r="E4" s="11" t="s">
        <v>56</v>
      </c>
      <c r="F4" s="11" t="s">
        <v>57</v>
      </c>
      <c r="G4" s="11" t="s">
        <v>7</v>
      </c>
    </row>
    <row r="5" customFormat="false" ht="15" hidden="false" customHeight="true" outlineLevel="0" collapsed="false">
      <c r="A5" s="5" t="n">
        <v>2</v>
      </c>
      <c r="B5" s="11" t="s">
        <v>58</v>
      </c>
      <c r="C5" s="11" t="s">
        <v>54</v>
      </c>
      <c r="D5" s="11" t="s">
        <v>59</v>
      </c>
      <c r="E5" s="11" t="s">
        <v>56</v>
      </c>
      <c r="F5" s="11" t="s">
        <v>60</v>
      </c>
      <c r="G5" s="11" t="s">
        <v>61</v>
      </c>
    </row>
    <row r="6" customFormat="false" ht="15" hidden="false" customHeight="true" outlineLevel="0" collapsed="false">
      <c r="A6" s="5" t="n">
        <v>3</v>
      </c>
      <c r="B6" s="11" t="s">
        <v>62</v>
      </c>
      <c r="C6" s="11" t="s">
        <v>54</v>
      </c>
      <c r="D6" s="11" t="s">
        <v>63</v>
      </c>
      <c r="E6" s="11" t="s">
        <v>56</v>
      </c>
      <c r="F6" s="11" t="s">
        <v>64</v>
      </c>
      <c r="G6" s="11" t="s">
        <v>65</v>
      </c>
    </row>
    <row r="7" customFormat="false" ht="15" hidden="false" customHeight="true" outlineLevel="0" collapsed="false">
      <c r="A7" s="5" t="n">
        <v>4</v>
      </c>
      <c r="B7" s="11" t="s">
        <v>66</v>
      </c>
      <c r="C7" s="11" t="s">
        <v>54</v>
      </c>
      <c r="D7" s="11" t="s">
        <v>67</v>
      </c>
      <c r="E7" s="11" t="s">
        <v>56</v>
      </c>
      <c r="F7" s="11" t="s">
        <v>64</v>
      </c>
      <c r="G7" s="11" t="s">
        <v>68</v>
      </c>
    </row>
    <row r="8" customFormat="false" ht="15" hidden="false" customHeight="true" outlineLevel="0" collapsed="false">
      <c r="A8" s="5" t="n">
        <v>5</v>
      </c>
      <c r="B8" s="11" t="s">
        <v>69</v>
      </c>
      <c r="C8" s="11" t="s">
        <v>54</v>
      </c>
      <c r="D8" s="11" t="s">
        <v>70</v>
      </c>
      <c r="E8" s="11" t="s">
        <v>56</v>
      </c>
      <c r="F8" s="11" t="s">
        <v>71</v>
      </c>
      <c r="G8" s="11" t="s">
        <v>9</v>
      </c>
    </row>
    <row r="9" customFormat="false" ht="15" hidden="false" customHeight="true" outlineLevel="0" collapsed="false">
      <c r="A9" s="5" t="n">
        <v>6</v>
      </c>
      <c r="B9" s="11" t="s">
        <v>72</v>
      </c>
      <c r="C9" s="11" t="s">
        <v>54</v>
      </c>
      <c r="D9" s="11" t="s">
        <v>73</v>
      </c>
      <c r="E9" s="11" t="s">
        <v>56</v>
      </c>
      <c r="F9" s="11" t="s">
        <v>60</v>
      </c>
      <c r="G9" s="11" t="s">
        <v>74</v>
      </c>
    </row>
    <row r="10" customFormat="false" ht="15" hidden="false" customHeight="true" outlineLevel="0" collapsed="false">
      <c r="A10" s="5" t="n">
        <v>7</v>
      </c>
      <c r="B10" s="11" t="s">
        <v>75</v>
      </c>
      <c r="C10" s="11" t="s">
        <v>54</v>
      </c>
      <c r="D10" s="11" t="s">
        <v>76</v>
      </c>
      <c r="E10" s="11" t="s">
        <v>56</v>
      </c>
      <c r="F10" s="11" t="s">
        <v>64</v>
      </c>
      <c r="G10" s="11" t="s">
        <v>77</v>
      </c>
    </row>
    <row r="11" customFormat="false" ht="15" hidden="false" customHeight="true" outlineLevel="0" collapsed="false">
      <c r="A11" s="5" t="n">
        <v>8</v>
      </c>
      <c r="B11" s="11" t="s">
        <v>78</v>
      </c>
      <c r="C11" s="11" t="s">
        <v>79</v>
      </c>
      <c r="D11" s="11" t="s">
        <v>80</v>
      </c>
      <c r="E11" s="11" t="s">
        <v>56</v>
      </c>
      <c r="F11" s="11" t="s">
        <v>81</v>
      </c>
      <c r="G11" s="11" t="s">
        <v>15</v>
      </c>
    </row>
    <row r="12" customFormat="false" ht="15" hidden="false" customHeight="true" outlineLevel="0" collapsed="false">
      <c r="A12" s="5" t="n">
        <v>9</v>
      </c>
      <c r="B12" s="11" t="s">
        <v>82</v>
      </c>
      <c r="C12" s="11" t="s">
        <v>79</v>
      </c>
      <c r="D12" s="11" t="s">
        <v>83</v>
      </c>
      <c r="E12" s="11" t="s">
        <v>56</v>
      </c>
      <c r="F12" s="11" t="s">
        <v>81</v>
      </c>
      <c r="G12" s="11" t="s">
        <v>15</v>
      </c>
    </row>
    <row r="13" customFormat="false" ht="15" hidden="false" customHeight="true" outlineLevel="0" collapsed="false">
      <c r="A13" s="5" t="n">
        <v>10</v>
      </c>
      <c r="B13" s="11" t="s">
        <v>84</v>
      </c>
      <c r="C13" s="11" t="s">
        <v>85</v>
      </c>
      <c r="D13" s="11" t="s">
        <v>86</v>
      </c>
      <c r="E13" s="11" t="s">
        <v>56</v>
      </c>
      <c r="F13" s="11" t="s">
        <v>64</v>
      </c>
      <c r="G13" s="11" t="s">
        <v>87</v>
      </c>
    </row>
    <row r="14" customFormat="false" ht="15" hidden="false" customHeight="true" outlineLevel="0" collapsed="false">
      <c r="A14" s="5" t="n">
        <v>11</v>
      </c>
      <c r="B14" s="11" t="s">
        <v>88</v>
      </c>
      <c r="C14" s="11" t="s">
        <v>89</v>
      </c>
      <c r="D14" s="11" t="s">
        <v>90</v>
      </c>
      <c r="E14" s="11" t="s">
        <v>91</v>
      </c>
      <c r="F14" s="11" t="s">
        <v>92</v>
      </c>
      <c r="G14" s="11" t="s">
        <v>15</v>
      </c>
    </row>
    <row r="15" customFormat="false" ht="15" hidden="false" customHeight="true" outlineLevel="0" collapsed="false">
      <c r="A15" s="5" t="n">
        <v>12</v>
      </c>
      <c r="B15" s="12" t="s">
        <v>93</v>
      </c>
      <c r="C15" s="11" t="s">
        <v>94</v>
      </c>
      <c r="D15" s="11" t="s">
        <v>95</v>
      </c>
      <c r="E15" s="11" t="s">
        <v>56</v>
      </c>
      <c r="F15" s="11" t="s">
        <v>96</v>
      </c>
      <c r="G15" s="11" t="s">
        <v>97</v>
      </c>
    </row>
    <row r="16" customFormat="false" ht="15" hidden="false" customHeight="true" outlineLevel="0" collapsed="false">
      <c r="A16" s="5" t="n">
        <v>13</v>
      </c>
      <c r="B16" s="11" t="s">
        <v>98</v>
      </c>
      <c r="C16" s="11" t="s">
        <v>99</v>
      </c>
      <c r="D16" s="11" t="s">
        <v>100</v>
      </c>
      <c r="E16" s="11" t="s">
        <v>56</v>
      </c>
      <c r="F16" s="11" t="s">
        <v>96</v>
      </c>
      <c r="G16" s="11" t="s">
        <v>101</v>
      </c>
    </row>
    <row r="18" customFormat="false" ht="15" hidden="false" customHeight="true" outlineLevel="0" collapsed="false">
      <c r="A18" s="13" t="s">
        <v>102</v>
      </c>
      <c r="B18" s="13"/>
      <c r="C18" s="13"/>
      <c r="D18" s="13"/>
      <c r="E18" s="13"/>
      <c r="F18" s="13"/>
      <c r="G18" s="13"/>
    </row>
    <row r="21" customFormat="false" ht="15" hidden="false" customHeight="true" outlineLevel="0" collapsed="false">
      <c r="A21" s="8" t="s">
        <v>103</v>
      </c>
      <c r="B21" s="8"/>
      <c r="C21" s="8"/>
      <c r="D21" s="8"/>
      <c r="E21" s="8"/>
      <c r="F21" s="8"/>
      <c r="G21" s="8"/>
    </row>
    <row r="22" customFormat="false" ht="15" hidden="false" customHeight="true" outlineLevel="0" collapsed="false">
      <c r="A22" s="14" t="s">
        <v>46</v>
      </c>
      <c r="B22" s="14" t="s">
        <v>104</v>
      </c>
      <c r="C22" s="14" t="s">
        <v>105</v>
      </c>
      <c r="D22" s="14" t="s">
        <v>106</v>
      </c>
      <c r="E22" s="14" t="s">
        <v>107</v>
      </c>
      <c r="F22" s="14" t="s">
        <v>108</v>
      </c>
      <c r="G22" s="14"/>
    </row>
    <row r="23" customFormat="false" ht="75" hidden="false" customHeight="true" outlineLevel="0" collapsed="false">
      <c r="A23" s="5" t="n">
        <v>1</v>
      </c>
      <c r="B23" s="6" t="s">
        <v>109</v>
      </c>
      <c r="C23" s="15" t="s">
        <v>110</v>
      </c>
      <c r="D23" s="16" t="s">
        <v>111</v>
      </c>
      <c r="E23" s="16" t="s">
        <v>112</v>
      </c>
      <c r="F23" s="16" t="s">
        <v>113</v>
      </c>
    </row>
    <row r="24" customFormat="false" ht="75" hidden="false" customHeight="true" outlineLevel="0" collapsed="false">
      <c r="A24" s="5" t="n">
        <v>2</v>
      </c>
      <c r="B24" s="6" t="s">
        <v>114</v>
      </c>
      <c r="C24" s="17" t="s">
        <v>115</v>
      </c>
      <c r="D24" s="16" t="s">
        <v>116</v>
      </c>
      <c r="E24" s="16" t="s">
        <v>117</v>
      </c>
      <c r="F24" s="16" t="s">
        <v>118</v>
      </c>
    </row>
    <row r="25" customFormat="false" ht="45" hidden="false" customHeight="true" outlineLevel="0" collapsed="false">
      <c r="A25" s="5" t="n">
        <v>3</v>
      </c>
      <c r="B25" s="6" t="s">
        <v>119</v>
      </c>
      <c r="C25" s="17" t="s">
        <v>115</v>
      </c>
      <c r="D25" s="16" t="s">
        <v>120</v>
      </c>
      <c r="E25" s="16" t="s">
        <v>121</v>
      </c>
      <c r="F25" s="16" t="s">
        <v>122</v>
      </c>
    </row>
    <row r="26" customFormat="false" ht="60" hidden="false" customHeight="true" outlineLevel="0" collapsed="false">
      <c r="A26" s="5" t="n">
        <v>4</v>
      </c>
      <c r="B26" s="6" t="s">
        <v>123</v>
      </c>
      <c r="C26" s="15" t="s">
        <v>110</v>
      </c>
      <c r="D26" s="16" t="s">
        <v>124</v>
      </c>
      <c r="E26" s="16" t="s">
        <v>125</v>
      </c>
      <c r="F26" s="16" t="s">
        <v>126</v>
      </c>
    </row>
    <row r="27" customFormat="false" ht="45" hidden="false" customHeight="true" outlineLevel="0" collapsed="false">
      <c r="A27" s="5" t="n">
        <v>5</v>
      </c>
      <c r="B27" s="6" t="s">
        <v>127</v>
      </c>
      <c r="C27" s="15" t="s">
        <v>110</v>
      </c>
      <c r="D27" s="16" t="s">
        <v>128</v>
      </c>
      <c r="E27" s="16" t="s">
        <v>129</v>
      </c>
      <c r="F27" s="16" t="s">
        <v>130</v>
      </c>
    </row>
    <row r="28" customFormat="false" ht="75" hidden="false" customHeight="true" outlineLevel="0" collapsed="false">
      <c r="A28" s="5" t="n">
        <v>6</v>
      </c>
      <c r="B28" s="6" t="s">
        <v>131</v>
      </c>
      <c r="C28" s="15" t="s">
        <v>110</v>
      </c>
      <c r="D28" s="16" t="s">
        <v>132</v>
      </c>
      <c r="E28" s="16" t="s">
        <v>133</v>
      </c>
      <c r="F28" s="16" t="s">
        <v>134</v>
      </c>
    </row>
    <row r="29" customFormat="false" ht="60" hidden="false" customHeight="true" outlineLevel="0" collapsed="false">
      <c r="A29" s="5" t="n">
        <v>7</v>
      </c>
      <c r="B29" s="6" t="s">
        <v>77</v>
      </c>
      <c r="C29" s="15" t="s">
        <v>110</v>
      </c>
      <c r="D29" s="16" t="s">
        <v>135</v>
      </c>
      <c r="E29" s="16" t="s">
        <v>136</v>
      </c>
      <c r="F29" s="16" t="s">
        <v>137</v>
      </c>
    </row>
    <row r="31" customFormat="false" ht="45" hidden="false" customHeight="true" outlineLevel="0" collapsed="false">
      <c r="A31" s="13" t="s">
        <v>138</v>
      </c>
      <c r="B31" s="13"/>
      <c r="C31" s="13"/>
      <c r="D31" s="13"/>
      <c r="E31" s="13"/>
      <c r="F31" s="13"/>
      <c r="G31" s="13"/>
    </row>
    <row r="34" customFormat="false" ht="15" hidden="false" customHeight="true" outlineLevel="0" collapsed="false">
      <c r="A34" s="8" t="s">
        <v>103</v>
      </c>
      <c r="B34" s="8"/>
      <c r="C34" s="8"/>
      <c r="D34" s="8"/>
      <c r="E34" s="8"/>
      <c r="F34" s="8"/>
      <c r="G34" s="8"/>
    </row>
    <row r="35" customFormat="false" ht="15" hidden="false" customHeight="true" outlineLevel="0" collapsed="false">
      <c r="A35" s="14" t="s">
        <v>46</v>
      </c>
      <c r="B35" s="14" t="s">
        <v>104</v>
      </c>
      <c r="C35" s="14" t="s">
        <v>105</v>
      </c>
      <c r="D35" s="14" t="s">
        <v>106</v>
      </c>
      <c r="E35" s="14" t="s">
        <v>107</v>
      </c>
      <c r="F35" s="14" t="s">
        <v>108</v>
      </c>
      <c r="G35" s="14"/>
    </row>
    <row r="36" customFormat="false" ht="75" hidden="false" customHeight="true" outlineLevel="0" collapsed="false">
      <c r="A36" s="5" t="n">
        <v>1</v>
      </c>
      <c r="B36" s="6" t="s">
        <v>109</v>
      </c>
      <c r="C36" s="15" t="s">
        <v>110</v>
      </c>
      <c r="D36" s="16" t="s">
        <v>111</v>
      </c>
      <c r="E36" s="16" t="s">
        <v>112</v>
      </c>
      <c r="F36" s="16" t="s">
        <v>113</v>
      </c>
    </row>
    <row r="37" customFormat="false" ht="75" hidden="false" customHeight="true" outlineLevel="0" collapsed="false">
      <c r="A37" s="5" t="n">
        <v>2</v>
      </c>
      <c r="B37" s="6" t="s">
        <v>114</v>
      </c>
      <c r="C37" s="17" t="s">
        <v>115</v>
      </c>
      <c r="D37" s="16" t="s">
        <v>116</v>
      </c>
      <c r="E37" s="16" t="s">
        <v>117</v>
      </c>
      <c r="F37" s="16" t="s">
        <v>118</v>
      </c>
    </row>
    <row r="38" customFormat="false" ht="45" hidden="false" customHeight="true" outlineLevel="0" collapsed="false">
      <c r="A38" s="5" t="n">
        <v>3</v>
      </c>
      <c r="B38" s="6" t="s">
        <v>119</v>
      </c>
      <c r="C38" s="17" t="s">
        <v>115</v>
      </c>
      <c r="D38" s="16" t="s">
        <v>120</v>
      </c>
      <c r="E38" s="16" t="s">
        <v>121</v>
      </c>
      <c r="F38" s="16" t="s">
        <v>122</v>
      </c>
    </row>
    <row r="39" customFormat="false" ht="60" hidden="false" customHeight="true" outlineLevel="0" collapsed="false">
      <c r="A39" s="5" t="n">
        <v>4</v>
      </c>
      <c r="B39" s="6" t="s">
        <v>123</v>
      </c>
      <c r="C39" s="15" t="s">
        <v>110</v>
      </c>
      <c r="D39" s="16" t="s">
        <v>124</v>
      </c>
      <c r="E39" s="16" t="s">
        <v>125</v>
      </c>
      <c r="F39" s="16" t="s">
        <v>126</v>
      </c>
    </row>
    <row r="40" customFormat="false" ht="45" hidden="false" customHeight="true" outlineLevel="0" collapsed="false">
      <c r="A40" s="5" t="n">
        <v>5</v>
      </c>
      <c r="B40" s="6" t="s">
        <v>127</v>
      </c>
      <c r="C40" s="15" t="s">
        <v>110</v>
      </c>
      <c r="D40" s="16" t="s">
        <v>128</v>
      </c>
      <c r="E40" s="16" t="s">
        <v>129</v>
      </c>
      <c r="F40" s="16" t="s">
        <v>130</v>
      </c>
    </row>
    <row r="41" customFormat="false" ht="75" hidden="false" customHeight="true" outlineLevel="0" collapsed="false">
      <c r="A41" s="5" t="n">
        <v>6</v>
      </c>
      <c r="B41" s="6" t="s">
        <v>131</v>
      </c>
      <c r="C41" s="15" t="s">
        <v>110</v>
      </c>
      <c r="D41" s="16" t="s">
        <v>132</v>
      </c>
      <c r="E41" s="16" t="s">
        <v>133</v>
      </c>
      <c r="F41" s="16" t="s">
        <v>134</v>
      </c>
    </row>
    <row r="42" customFormat="false" ht="60" hidden="false" customHeight="true" outlineLevel="0" collapsed="false">
      <c r="A42" s="5" t="n">
        <v>7</v>
      </c>
      <c r="B42" s="6" t="s">
        <v>77</v>
      </c>
      <c r="C42" s="15" t="s">
        <v>110</v>
      </c>
      <c r="D42" s="16" t="s">
        <v>135</v>
      </c>
      <c r="E42" s="16" t="s">
        <v>136</v>
      </c>
      <c r="F42" s="16" t="s">
        <v>137</v>
      </c>
    </row>
    <row r="44" customFormat="false" ht="45" hidden="false" customHeight="true" outlineLevel="0" collapsed="false">
      <c r="A44" s="13" t="s">
        <v>138</v>
      </c>
      <c r="B44" s="13"/>
      <c r="C44" s="13"/>
      <c r="D44" s="13"/>
      <c r="E44" s="13"/>
      <c r="F44" s="13"/>
      <c r="G44" s="13"/>
    </row>
    <row r="47" customFormat="false" ht="15" hidden="false" customHeight="true" outlineLevel="0" collapsed="false">
      <c r="A47" s="8" t="s">
        <v>103</v>
      </c>
      <c r="B47" s="8"/>
      <c r="C47" s="8"/>
      <c r="D47" s="8"/>
      <c r="E47" s="8"/>
      <c r="F47" s="8"/>
      <c r="G47" s="8"/>
    </row>
    <row r="48" customFormat="false" ht="15" hidden="false" customHeight="true" outlineLevel="0" collapsed="false">
      <c r="A48" s="14" t="s">
        <v>46</v>
      </c>
      <c r="B48" s="14" t="s">
        <v>104</v>
      </c>
      <c r="C48" s="14" t="s">
        <v>105</v>
      </c>
      <c r="D48" s="14" t="s">
        <v>106</v>
      </c>
      <c r="E48" s="14" t="s">
        <v>107</v>
      </c>
      <c r="F48" s="14" t="s">
        <v>108</v>
      </c>
      <c r="G48" s="14"/>
    </row>
    <row r="49" customFormat="false" ht="75" hidden="false" customHeight="true" outlineLevel="0" collapsed="false">
      <c r="A49" s="5" t="n">
        <v>1</v>
      </c>
      <c r="B49" s="6" t="s">
        <v>109</v>
      </c>
      <c r="C49" s="15" t="s">
        <v>110</v>
      </c>
      <c r="D49" s="16" t="s">
        <v>111</v>
      </c>
      <c r="E49" s="16" t="s">
        <v>112</v>
      </c>
      <c r="F49" s="16" t="s">
        <v>113</v>
      </c>
    </row>
    <row r="50" customFormat="false" ht="75" hidden="false" customHeight="true" outlineLevel="0" collapsed="false">
      <c r="A50" s="5" t="n">
        <v>2</v>
      </c>
      <c r="B50" s="6" t="s">
        <v>114</v>
      </c>
      <c r="C50" s="17" t="s">
        <v>115</v>
      </c>
      <c r="D50" s="16" t="s">
        <v>116</v>
      </c>
      <c r="E50" s="16" t="s">
        <v>117</v>
      </c>
      <c r="F50" s="16" t="s">
        <v>118</v>
      </c>
    </row>
    <row r="51" customFormat="false" ht="45" hidden="false" customHeight="true" outlineLevel="0" collapsed="false">
      <c r="A51" s="5" t="n">
        <v>3</v>
      </c>
      <c r="B51" s="6" t="s">
        <v>119</v>
      </c>
      <c r="C51" s="17" t="s">
        <v>115</v>
      </c>
      <c r="D51" s="16" t="s">
        <v>120</v>
      </c>
      <c r="E51" s="16" t="s">
        <v>121</v>
      </c>
      <c r="F51" s="16" t="s">
        <v>122</v>
      </c>
    </row>
    <row r="52" customFormat="false" ht="60" hidden="false" customHeight="true" outlineLevel="0" collapsed="false">
      <c r="A52" s="5" t="n">
        <v>4</v>
      </c>
      <c r="B52" s="6" t="s">
        <v>123</v>
      </c>
      <c r="C52" s="15" t="s">
        <v>110</v>
      </c>
      <c r="D52" s="16" t="s">
        <v>124</v>
      </c>
      <c r="E52" s="16" t="s">
        <v>125</v>
      </c>
      <c r="F52" s="16" t="s">
        <v>126</v>
      </c>
    </row>
    <row r="53" customFormat="false" ht="45" hidden="false" customHeight="true" outlineLevel="0" collapsed="false">
      <c r="A53" s="5" t="n">
        <v>5</v>
      </c>
      <c r="B53" s="6" t="s">
        <v>127</v>
      </c>
      <c r="C53" s="15" t="s">
        <v>110</v>
      </c>
      <c r="D53" s="16" t="s">
        <v>128</v>
      </c>
      <c r="E53" s="16" t="s">
        <v>129</v>
      </c>
      <c r="F53" s="16" t="s">
        <v>130</v>
      </c>
    </row>
    <row r="54" customFormat="false" ht="75" hidden="false" customHeight="true" outlineLevel="0" collapsed="false">
      <c r="A54" s="5" t="n">
        <v>6</v>
      </c>
      <c r="B54" s="6" t="s">
        <v>131</v>
      </c>
      <c r="C54" s="15" t="s">
        <v>110</v>
      </c>
      <c r="D54" s="16" t="s">
        <v>132</v>
      </c>
      <c r="E54" s="16" t="s">
        <v>133</v>
      </c>
      <c r="F54" s="16" t="s">
        <v>134</v>
      </c>
    </row>
    <row r="55" customFormat="false" ht="60" hidden="false" customHeight="true" outlineLevel="0" collapsed="false">
      <c r="A55" s="5" t="n">
        <v>7</v>
      </c>
      <c r="B55" s="6" t="s">
        <v>77</v>
      </c>
      <c r="C55" s="15" t="s">
        <v>110</v>
      </c>
      <c r="D55" s="16" t="s">
        <v>135</v>
      </c>
      <c r="E55" s="16" t="s">
        <v>136</v>
      </c>
      <c r="F55" s="16" t="s">
        <v>137</v>
      </c>
    </row>
    <row r="57" customFormat="false" ht="45" hidden="false" customHeight="true" outlineLevel="0" collapsed="false">
      <c r="A57" s="13" t="s">
        <v>138</v>
      </c>
      <c r="B57" s="13"/>
      <c r="C57" s="13"/>
      <c r="D57" s="13"/>
      <c r="E57" s="13"/>
      <c r="F57" s="13"/>
      <c r="G57" s="13"/>
    </row>
    <row r="60" customFormat="false" ht="15" hidden="false" customHeight="true" outlineLevel="0" collapsed="false">
      <c r="A60" s="8" t="s">
        <v>103</v>
      </c>
      <c r="B60" s="8"/>
      <c r="C60" s="8"/>
      <c r="D60" s="8"/>
      <c r="E60" s="8"/>
      <c r="F60" s="8"/>
      <c r="G60" s="8"/>
    </row>
    <row r="61" customFormat="false" ht="15" hidden="false" customHeight="true" outlineLevel="0" collapsed="false">
      <c r="A61" s="14" t="s">
        <v>46</v>
      </c>
      <c r="B61" s="14" t="s">
        <v>104</v>
      </c>
      <c r="C61" s="14" t="s">
        <v>105</v>
      </c>
      <c r="D61" s="14" t="s">
        <v>106</v>
      </c>
      <c r="E61" s="14" t="s">
        <v>107</v>
      </c>
      <c r="F61" s="14" t="s">
        <v>108</v>
      </c>
      <c r="G61" s="14"/>
    </row>
    <row r="62" customFormat="false" ht="75" hidden="false" customHeight="true" outlineLevel="0" collapsed="false">
      <c r="A62" s="5" t="n">
        <v>1</v>
      </c>
      <c r="B62" s="6" t="s">
        <v>109</v>
      </c>
      <c r="C62" s="15" t="s">
        <v>110</v>
      </c>
      <c r="D62" s="16" t="s">
        <v>111</v>
      </c>
      <c r="E62" s="16" t="s">
        <v>112</v>
      </c>
      <c r="F62" s="16" t="s">
        <v>113</v>
      </c>
    </row>
    <row r="63" customFormat="false" ht="75" hidden="false" customHeight="true" outlineLevel="0" collapsed="false">
      <c r="A63" s="5" t="n">
        <v>2</v>
      </c>
      <c r="B63" s="6" t="s">
        <v>114</v>
      </c>
      <c r="C63" s="17" t="s">
        <v>115</v>
      </c>
      <c r="D63" s="16" t="s">
        <v>116</v>
      </c>
      <c r="E63" s="16" t="s">
        <v>117</v>
      </c>
      <c r="F63" s="16" t="s">
        <v>118</v>
      </c>
    </row>
    <row r="64" customFormat="false" ht="45" hidden="false" customHeight="true" outlineLevel="0" collapsed="false">
      <c r="A64" s="5" t="n">
        <v>3</v>
      </c>
      <c r="B64" s="6" t="s">
        <v>119</v>
      </c>
      <c r="C64" s="17" t="s">
        <v>115</v>
      </c>
      <c r="D64" s="16" t="s">
        <v>120</v>
      </c>
      <c r="E64" s="16" t="s">
        <v>121</v>
      </c>
      <c r="F64" s="16" t="s">
        <v>122</v>
      </c>
    </row>
    <row r="65" customFormat="false" ht="60" hidden="false" customHeight="true" outlineLevel="0" collapsed="false">
      <c r="A65" s="5" t="n">
        <v>4</v>
      </c>
      <c r="B65" s="6" t="s">
        <v>123</v>
      </c>
      <c r="C65" s="15" t="s">
        <v>110</v>
      </c>
      <c r="D65" s="16" t="s">
        <v>124</v>
      </c>
      <c r="E65" s="16" t="s">
        <v>125</v>
      </c>
      <c r="F65" s="16" t="s">
        <v>126</v>
      </c>
    </row>
    <row r="66" customFormat="false" ht="45" hidden="false" customHeight="true" outlineLevel="0" collapsed="false">
      <c r="A66" s="5" t="n">
        <v>5</v>
      </c>
      <c r="B66" s="6" t="s">
        <v>127</v>
      </c>
      <c r="C66" s="15" t="s">
        <v>110</v>
      </c>
      <c r="D66" s="16" t="s">
        <v>128</v>
      </c>
      <c r="E66" s="16" t="s">
        <v>129</v>
      </c>
      <c r="F66" s="16" t="s">
        <v>130</v>
      </c>
    </row>
    <row r="67" customFormat="false" ht="75" hidden="false" customHeight="true" outlineLevel="0" collapsed="false">
      <c r="A67" s="5" t="n">
        <v>6</v>
      </c>
      <c r="B67" s="6" t="s">
        <v>131</v>
      </c>
      <c r="C67" s="15" t="s">
        <v>110</v>
      </c>
      <c r="D67" s="16" t="s">
        <v>132</v>
      </c>
      <c r="E67" s="16" t="s">
        <v>133</v>
      </c>
      <c r="F67" s="16" t="s">
        <v>134</v>
      </c>
    </row>
    <row r="68" customFormat="false" ht="60" hidden="false" customHeight="true" outlineLevel="0" collapsed="false">
      <c r="A68" s="5" t="n">
        <v>7</v>
      </c>
      <c r="B68" s="6" t="s">
        <v>77</v>
      </c>
      <c r="C68" s="15" t="s">
        <v>110</v>
      </c>
      <c r="D68" s="16" t="s">
        <v>135</v>
      </c>
      <c r="E68" s="16" t="s">
        <v>136</v>
      </c>
      <c r="F68" s="16" t="s">
        <v>137</v>
      </c>
    </row>
    <row r="70" customFormat="false" ht="45" hidden="false" customHeight="true" outlineLevel="0" collapsed="false">
      <c r="A70" s="13" t="s">
        <v>138</v>
      </c>
      <c r="B70" s="13"/>
      <c r="C70" s="13"/>
      <c r="D70" s="13"/>
      <c r="E70" s="13"/>
      <c r="F70" s="13"/>
      <c r="G70" s="13"/>
    </row>
    <row r="73" customFormat="false" ht="15" hidden="false" customHeight="true" outlineLevel="0" collapsed="false">
      <c r="A73" s="8" t="s">
        <v>103</v>
      </c>
      <c r="B73" s="8"/>
      <c r="C73" s="8"/>
      <c r="D73" s="8"/>
      <c r="E73" s="8"/>
      <c r="F73" s="8"/>
      <c r="G73" s="8"/>
    </row>
    <row r="74" customFormat="false" ht="15" hidden="false" customHeight="true" outlineLevel="0" collapsed="false">
      <c r="A74" s="14" t="s">
        <v>46</v>
      </c>
      <c r="B74" s="14" t="s">
        <v>104</v>
      </c>
      <c r="C74" s="14" t="s">
        <v>105</v>
      </c>
      <c r="D74" s="14" t="s">
        <v>106</v>
      </c>
      <c r="E74" s="14" t="s">
        <v>107</v>
      </c>
      <c r="F74" s="14" t="s">
        <v>108</v>
      </c>
      <c r="G74" s="14"/>
    </row>
    <row r="75" customFormat="false" ht="75" hidden="false" customHeight="true" outlineLevel="0" collapsed="false">
      <c r="A75" s="5" t="n">
        <v>1</v>
      </c>
      <c r="B75" s="6" t="s">
        <v>109</v>
      </c>
      <c r="C75" s="15" t="s">
        <v>110</v>
      </c>
      <c r="D75" s="16" t="s">
        <v>111</v>
      </c>
      <c r="E75" s="16" t="s">
        <v>112</v>
      </c>
      <c r="F75" s="16" t="s">
        <v>113</v>
      </c>
    </row>
    <row r="76" customFormat="false" ht="75" hidden="false" customHeight="true" outlineLevel="0" collapsed="false">
      <c r="A76" s="5" t="n">
        <v>2</v>
      </c>
      <c r="B76" s="6" t="s">
        <v>114</v>
      </c>
      <c r="C76" s="17" t="s">
        <v>115</v>
      </c>
      <c r="D76" s="16" t="s">
        <v>116</v>
      </c>
      <c r="E76" s="16" t="s">
        <v>117</v>
      </c>
      <c r="F76" s="16" t="s">
        <v>118</v>
      </c>
    </row>
    <row r="77" customFormat="false" ht="45" hidden="false" customHeight="true" outlineLevel="0" collapsed="false">
      <c r="A77" s="5" t="n">
        <v>3</v>
      </c>
      <c r="B77" s="6" t="s">
        <v>119</v>
      </c>
      <c r="C77" s="17" t="s">
        <v>115</v>
      </c>
      <c r="D77" s="16" t="s">
        <v>120</v>
      </c>
      <c r="E77" s="16" t="s">
        <v>121</v>
      </c>
      <c r="F77" s="16" t="s">
        <v>122</v>
      </c>
    </row>
    <row r="78" customFormat="false" ht="60" hidden="false" customHeight="true" outlineLevel="0" collapsed="false">
      <c r="A78" s="5" t="n">
        <v>4</v>
      </c>
      <c r="B78" s="6" t="s">
        <v>123</v>
      </c>
      <c r="C78" s="15" t="s">
        <v>110</v>
      </c>
      <c r="D78" s="16" t="s">
        <v>124</v>
      </c>
      <c r="E78" s="16" t="s">
        <v>125</v>
      </c>
      <c r="F78" s="16" t="s">
        <v>126</v>
      </c>
    </row>
    <row r="79" customFormat="false" ht="45" hidden="false" customHeight="true" outlineLevel="0" collapsed="false">
      <c r="A79" s="5" t="n">
        <v>5</v>
      </c>
      <c r="B79" s="6" t="s">
        <v>127</v>
      </c>
      <c r="C79" s="15" t="s">
        <v>110</v>
      </c>
      <c r="D79" s="16" t="s">
        <v>128</v>
      </c>
      <c r="E79" s="16" t="s">
        <v>129</v>
      </c>
      <c r="F79" s="16" t="s">
        <v>130</v>
      </c>
    </row>
    <row r="80" customFormat="false" ht="75" hidden="false" customHeight="true" outlineLevel="0" collapsed="false">
      <c r="A80" s="5" t="n">
        <v>6</v>
      </c>
      <c r="B80" s="6" t="s">
        <v>131</v>
      </c>
      <c r="C80" s="15" t="s">
        <v>110</v>
      </c>
      <c r="D80" s="16" t="s">
        <v>132</v>
      </c>
      <c r="E80" s="16" t="s">
        <v>133</v>
      </c>
      <c r="F80" s="16" t="s">
        <v>134</v>
      </c>
    </row>
    <row r="81" customFormat="false" ht="60" hidden="false" customHeight="true" outlineLevel="0" collapsed="false">
      <c r="A81" s="5" t="n">
        <v>7</v>
      </c>
      <c r="B81" s="6" t="s">
        <v>77</v>
      </c>
      <c r="C81" s="15" t="s">
        <v>110</v>
      </c>
      <c r="D81" s="16" t="s">
        <v>135</v>
      </c>
      <c r="E81" s="16" t="s">
        <v>136</v>
      </c>
      <c r="F81" s="16" t="s">
        <v>137</v>
      </c>
    </row>
    <row r="83" customFormat="false" ht="45" hidden="false" customHeight="true" outlineLevel="0" collapsed="false">
      <c r="A83" s="13" t="s">
        <v>138</v>
      </c>
      <c r="B83" s="13"/>
      <c r="C83" s="13"/>
      <c r="D83" s="13"/>
      <c r="E83" s="13"/>
      <c r="F83" s="13"/>
      <c r="G83" s="13"/>
    </row>
    <row r="86" customFormat="false" ht="15" hidden="false" customHeight="true" outlineLevel="0" collapsed="false">
      <c r="A86" s="8" t="s">
        <v>103</v>
      </c>
      <c r="B86" s="8"/>
      <c r="C86" s="8"/>
      <c r="D86" s="8"/>
      <c r="E86" s="8"/>
      <c r="F86" s="8"/>
      <c r="G86" s="8"/>
    </row>
    <row r="87" customFormat="false" ht="15" hidden="false" customHeight="true" outlineLevel="0" collapsed="false">
      <c r="A87" s="14" t="s">
        <v>46</v>
      </c>
      <c r="B87" s="14" t="s">
        <v>104</v>
      </c>
      <c r="C87" s="14" t="s">
        <v>105</v>
      </c>
      <c r="D87" s="14" t="s">
        <v>106</v>
      </c>
      <c r="E87" s="14" t="s">
        <v>107</v>
      </c>
      <c r="F87" s="14" t="s">
        <v>108</v>
      </c>
      <c r="G87" s="14"/>
    </row>
    <row r="88" customFormat="false" ht="75" hidden="false" customHeight="true" outlineLevel="0" collapsed="false">
      <c r="A88" s="5" t="n">
        <v>1</v>
      </c>
      <c r="B88" s="6" t="s">
        <v>109</v>
      </c>
      <c r="C88" s="15" t="s">
        <v>110</v>
      </c>
      <c r="D88" s="16" t="s">
        <v>111</v>
      </c>
      <c r="E88" s="16" t="s">
        <v>112</v>
      </c>
      <c r="F88" s="16" t="s">
        <v>113</v>
      </c>
    </row>
    <row r="89" customFormat="false" ht="75" hidden="false" customHeight="true" outlineLevel="0" collapsed="false">
      <c r="A89" s="5" t="n">
        <v>2</v>
      </c>
      <c r="B89" s="6" t="s">
        <v>114</v>
      </c>
      <c r="C89" s="17" t="s">
        <v>115</v>
      </c>
      <c r="D89" s="16" t="s">
        <v>116</v>
      </c>
      <c r="E89" s="16" t="s">
        <v>117</v>
      </c>
      <c r="F89" s="16" t="s">
        <v>118</v>
      </c>
    </row>
    <row r="90" customFormat="false" ht="45" hidden="false" customHeight="true" outlineLevel="0" collapsed="false">
      <c r="A90" s="5" t="n">
        <v>3</v>
      </c>
      <c r="B90" s="6" t="s">
        <v>119</v>
      </c>
      <c r="C90" s="17" t="s">
        <v>115</v>
      </c>
      <c r="D90" s="16" t="s">
        <v>120</v>
      </c>
      <c r="E90" s="16" t="s">
        <v>121</v>
      </c>
      <c r="F90" s="16" t="s">
        <v>122</v>
      </c>
    </row>
    <row r="91" customFormat="false" ht="60" hidden="false" customHeight="true" outlineLevel="0" collapsed="false">
      <c r="A91" s="5" t="n">
        <v>4</v>
      </c>
      <c r="B91" s="6" t="s">
        <v>123</v>
      </c>
      <c r="C91" s="15" t="s">
        <v>110</v>
      </c>
      <c r="D91" s="16" t="s">
        <v>124</v>
      </c>
      <c r="E91" s="16" t="s">
        <v>125</v>
      </c>
      <c r="F91" s="16" t="s">
        <v>126</v>
      </c>
    </row>
    <row r="92" customFormat="false" ht="45" hidden="false" customHeight="true" outlineLevel="0" collapsed="false">
      <c r="A92" s="5" t="n">
        <v>5</v>
      </c>
      <c r="B92" s="6" t="s">
        <v>127</v>
      </c>
      <c r="C92" s="15" t="s">
        <v>110</v>
      </c>
      <c r="D92" s="16" t="s">
        <v>128</v>
      </c>
      <c r="E92" s="16" t="s">
        <v>129</v>
      </c>
      <c r="F92" s="16" t="s">
        <v>130</v>
      </c>
    </row>
    <row r="93" customFormat="false" ht="75" hidden="false" customHeight="true" outlineLevel="0" collapsed="false">
      <c r="A93" s="5" t="n">
        <v>6</v>
      </c>
      <c r="B93" s="6" t="s">
        <v>131</v>
      </c>
      <c r="C93" s="15" t="s">
        <v>110</v>
      </c>
      <c r="D93" s="16" t="s">
        <v>132</v>
      </c>
      <c r="E93" s="16" t="s">
        <v>133</v>
      </c>
      <c r="F93" s="16" t="s">
        <v>134</v>
      </c>
    </row>
    <row r="94" customFormat="false" ht="60" hidden="false" customHeight="true" outlineLevel="0" collapsed="false">
      <c r="A94" s="5" t="n">
        <v>7</v>
      </c>
      <c r="B94" s="6" t="s">
        <v>77</v>
      </c>
      <c r="C94" s="15" t="s">
        <v>110</v>
      </c>
      <c r="D94" s="16" t="s">
        <v>135</v>
      </c>
      <c r="E94" s="16" t="s">
        <v>136</v>
      </c>
      <c r="F94" s="16" t="s">
        <v>137</v>
      </c>
    </row>
    <row r="96" customFormat="false" ht="45" hidden="false" customHeight="true" outlineLevel="0" collapsed="false">
      <c r="A96" s="13" t="s">
        <v>138</v>
      </c>
      <c r="B96" s="13"/>
      <c r="C96" s="13"/>
      <c r="D96" s="13"/>
      <c r="E96" s="13"/>
      <c r="F96" s="13"/>
      <c r="G96" s="13"/>
    </row>
    <row r="99" customFormat="false" ht="15" hidden="false" customHeight="true" outlineLevel="0" collapsed="false">
      <c r="A99" s="8" t="s">
        <v>139</v>
      </c>
      <c r="B99" s="8"/>
      <c r="C99" s="8"/>
      <c r="D99" s="8"/>
      <c r="E99" s="8"/>
      <c r="F99" s="8"/>
    </row>
    <row r="100" customFormat="false" ht="26.25" hidden="false" customHeight="true" outlineLevel="0" collapsed="false">
      <c r="A100" s="14" t="s">
        <v>140</v>
      </c>
      <c r="B100" s="14" t="s">
        <v>141</v>
      </c>
      <c r="C100" s="14" t="s">
        <v>50</v>
      </c>
      <c r="D100" s="14"/>
    </row>
    <row r="101" customFormat="false" ht="27.75" hidden="false" customHeight="true" outlineLevel="0" collapsed="false">
      <c r="A101" s="6" t="s">
        <v>142</v>
      </c>
      <c r="B101" s="18" t="s">
        <v>143</v>
      </c>
      <c r="C101" s="5" t="s">
        <v>144</v>
      </c>
    </row>
    <row r="102" customFormat="false" ht="27.75" hidden="false" customHeight="true" outlineLevel="0" collapsed="false">
      <c r="A102" s="6" t="s">
        <v>145</v>
      </c>
      <c r="B102" s="18" t="s">
        <v>146</v>
      </c>
      <c r="C102" s="5" t="s">
        <v>144</v>
      </c>
    </row>
    <row r="103" customFormat="false" ht="27.75" hidden="false" customHeight="true" outlineLevel="0" collapsed="false">
      <c r="A103" s="6" t="s">
        <v>147</v>
      </c>
      <c r="B103" s="18" t="s">
        <v>148</v>
      </c>
      <c r="C103" s="5" t="s">
        <v>144</v>
      </c>
    </row>
    <row r="104" customFormat="false" ht="27.75" hidden="false" customHeight="true" outlineLevel="0" collapsed="false">
      <c r="A104" s="6" t="s">
        <v>149</v>
      </c>
      <c r="B104" s="18" t="s">
        <v>150</v>
      </c>
      <c r="C104" s="5" t="s">
        <v>144</v>
      </c>
    </row>
    <row r="105" customFormat="false" ht="27.75" hidden="false" customHeight="true" outlineLevel="0" collapsed="false">
      <c r="A105" s="6" t="s">
        <v>151</v>
      </c>
      <c r="B105" s="18" t="s">
        <v>152</v>
      </c>
      <c r="C105" s="5" t="s">
        <v>144</v>
      </c>
    </row>
    <row r="106" customFormat="false" ht="27.75" hidden="false" customHeight="true" outlineLevel="0" collapsed="false">
      <c r="A106" s="6" t="s">
        <v>153</v>
      </c>
      <c r="B106" s="18" t="s">
        <v>154</v>
      </c>
      <c r="C106" s="5" t="s">
        <v>144</v>
      </c>
    </row>
    <row r="108" customFormat="false" ht="90" hidden="false" customHeight="true" outlineLevel="0" collapsed="false">
      <c r="A108" s="13" t="s">
        <v>155</v>
      </c>
      <c r="B108" s="13"/>
      <c r="C108" s="13"/>
      <c r="D108" s="13"/>
      <c r="E108" s="13"/>
      <c r="F108" s="13"/>
    </row>
  </sheetData>
  <mergeCells count="15">
    <mergeCell ref="A18:G18"/>
    <mergeCell ref="A21:G21"/>
    <mergeCell ref="A31:G31"/>
    <mergeCell ref="A34:G34"/>
    <mergeCell ref="A44:G44"/>
    <mergeCell ref="A47:G47"/>
    <mergeCell ref="A57:G57"/>
    <mergeCell ref="A60:G60"/>
    <mergeCell ref="A70:G70"/>
    <mergeCell ref="A73:G73"/>
    <mergeCell ref="A83:G83"/>
    <mergeCell ref="A86:G86"/>
    <mergeCell ref="A96:G96"/>
    <mergeCell ref="A99:F99"/>
    <mergeCell ref="A108:F10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0"/>
    <col collapsed="false" customWidth="true" hidden="false" outlineLevel="0" max="4" min="3" style="1" width="15"/>
  </cols>
  <sheetData>
    <row r="1" customFormat="false" ht="26.25" hidden="false" customHeight="true" outlineLevel="0" collapsed="false">
      <c r="A1" s="4" t="s">
        <v>156</v>
      </c>
      <c r="B1" s="4" t="s">
        <v>157</v>
      </c>
      <c r="C1" s="4" t="s">
        <v>64</v>
      </c>
      <c r="D1" s="4" t="s">
        <v>158</v>
      </c>
    </row>
    <row r="2" customFormat="false" ht="15" hidden="false" customHeight="true" outlineLevel="0" collapsed="false">
      <c r="A2" s="5" t="s">
        <v>159</v>
      </c>
      <c r="B2" s="19" t="s">
        <v>160</v>
      </c>
      <c r="C2" s="20" t="n">
        <v>40446.04</v>
      </c>
      <c r="D2" s="20" t="n">
        <v>33989.38</v>
      </c>
    </row>
    <row r="3" customFormat="false" ht="15" hidden="false" customHeight="true" outlineLevel="0" collapsed="false">
      <c r="A3" s="5" t="s">
        <v>161</v>
      </c>
      <c r="B3" s="19" t="s">
        <v>160</v>
      </c>
      <c r="C3" s="20" t="n">
        <v>209.64</v>
      </c>
      <c r="D3" s="20" t="n">
        <v>1347.06</v>
      </c>
    </row>
    <row r="4" customFormat="false" ht="15" hidden="false" customHeight="true" outlineLevel="0" collapsed="false">
      <c r="A4" s="5" t="s">
        <v>162</v>
      </c>
      <c r="B4" s="19" t="s">
        <v>160</v>
      </c>
      <c r="C4" s="20" t="n">
        <v>834.34</v>
      </c>
      <c r="D4" s="20" t="n">
        <v>2654.25</v>
      </c>
    </row>
    <row r="5" customFormat="false" ht="15" hidden="false" customHeight="true" outlineLevel="0" collapsed="false">
      <c r="A5" s="5" t="s">
        <v>163</v>
      </c>
      <c r="B5" s="19" t="s">
        <v>160</v>
      </c>
      <c r="C5" s="20" t="n">
        <v>41490.02</v>
      </c>
      <c r="D5" s="20" t="n">
        <v>37990.69</v>
      </c>
    </row>
    <row r="6" customFormat="false" ht="15" hidden="false" customHeight="true" outlineLevel="0" collapsed="false">
      <c r="A6" s="5" t="s">
        <v>164</v>
      </c>
      <c r="B6" s="19" t="s">
        <v>160</v>
      </c>
      <c r="C6" s="20" t="n">
        <v>223.61</v>
      </c>
      <c r="D6" s="20" t="n">
        <v>215.94</v>
      </c>
    </row>
    <row r="7" customFormat="false" ht="15" hidden="false" customHeight="true" outlineLevel="0" collapsed="false">
      <c r="A7" s="5" t="s">
        <v>165</v>
      </c>
      <c r="B7" s="19" t="s">
        <v>160</v>
      </c>
      <c r="C7" s="20" t="n">
        <v>3570.41</v>
      </c>
      <c r="D7" s="20" t="n">
        <v>2297.04</v>
      </c>
    </row>
    <row r="8" customFormat="false" ht="15" hidden="false" customHeight="true" outlineLevel="0" collapsed="false">
      <c r="A8" s="5" t="s">
        <v>166</v>
      </c>
      <c r="B8" s="19" t="s">
        <v>160</v>
      </c>
      <c r="C8" s="20" t="n">
        <v>3599.31</v>
      </c>
      <c r="D8" s="20" t="n">
        <v>6125.14</v>
      </c>
    </row>
    <row r="9" customFormat="false" ht="15" hidden="false" customHeight="true" outlineLevel="0" collapsed="false">
      <c r="A9" s="5" t="s">
        <v>167</v>
      </c>
      <c r="B9" s="19" t="s">
        <v>160</v>
      </c>
      <c r="C9" s="20" t="n">
        <v>300.54</v>
      </c>
      <c r="D9" s="20" t="n">
        <v>21.47</v>
      </c>
    </row>
    <row r="10" customFormat="false" ht="15" hidden="false" customHeight="true" outlineLevel="0" collapsed="false">
      <c r="A10" s="5" t="s">
        <v>168</v>
      </c>
      <c r="B10" s="19" t="s">
        <v>160</v>
      </c>
      <c r="C10" s="20" t="n">
        <v>3298.77</v>
      </c>
      <c r="D10" s="20" t="n">
        <v>6103.67</v>
      </c>
    </row>
    <row r="11" customFormat="false" ht="15" hidden="false" customHeight="true" outlineLevel="0" collapsed="false">
      <c r="A11" s="5" t="s">
        <v>169</v>
      </c>
      <c r="B11" s="19" t="s">
        <v>160</v>
      </c>
      <c r="C11" s="20" t="n">
        <v>4728.18</v>
      </c>
      <c r="D11" s="20" t="n">
        <v>4303.1</v>
      </c>
    </row>
    <row r="12" customFormat="false" ht="15" hidden="false" customHeight="true" outlineLevel="0" collapsed="false">
      <c r="A12" s="5" t="s">
        <v>170</v>
      </c>
      <c r="B12" s="19" t="s">
        <v>160</v>
      </c>
      <c r="C12" s="20" t="n">
        <v>908.9</v>
      </c>
      <c r="D12" s="20" t="n">
        <v>990.98</v>
      </c>
    </row>
    <row r="13" customFormat="false" ht="15" hidden="false" customHeight="true" outlineLevel="0" collapsed="false">
      <c r="A13" s="5" t="s">
        <v>171</v>
      </c>
      <c r="B13" s="19" t="s">
        <v>172</v>
      </c>
      <c r="C13" s="21" t="n">
        <v>74</v>
      </c>
      <c r="D13" s="21"/>
    </row>
    <row r="14" customFormat="false" ht="15" hidden="false" customHeight="true" outlineLevel="0" collapsed="false">
      <c r="A14" s="5" t="s">
        <v>173</v>
      </c>
      <c r="B14" s="19" t="s">
        <v>160</v>
      </c>
      <c r="C14" s="20" t="n">
        <v>33801.18</v>
      </c>
      <c r="D14" s="20" t="n">
        <v>25049.28</v>
      </c>
    </row>
    <row r="15" customFormat="false" ht="15" hidden="false" customHeight="true" outlineLevel="0" collapsed="false">
      <c r="A15" s="5" t="s">
        <v>174</v>
      </c>
      <c r="B15" s="19" t="s">
        <v>160</v>
      </c>
      <c r="C15" s="20" t="n">
        <v>1483</v>
      </c>
      <c r="D15" s="20" t="n">
        <v>1464.76</v>
      </c>
    </row>
    <row r="16" customFormat="false" ht="15" hidden="false" customHeight="true" outlineLevel="0" collapsed="false">
      <c r="A16" s="5" t="s">
        <v>175</v>
      </c>
      <c r="B16" s="19" t="s">
        <v>160</v>
      </c>
      <c r="C16" s="20" t="n">
        <v>9084.7</v>
      </c>
      <c r="D16" s="20" t="n">
        <v>9792.99</v>
      </c>
    </row>
    <row r="17" customFormat="false" ht="15" hidden="false" customHeight="true" outlineLevel="0" collapsed="false">
      <c r="A17" s="5" t="s">
        <v>176</v>
      </c>
      <c r="B17" s="19" t="s">
        <v>160</v>
      </c>
      <c r="C17" s="20" t="n">
        <v>13545.52</v>
      </c>
      <c r="D17" s="20" t="n">
        <v>10942.83</v>
      </c>
    </row>
    <row r="18" customFormat="false" ht="15" hidden="false" customHeight="true" outlineLevel="0" collapsed="false">
      <c r="A18" s="5" t="s">
        <v>177</v>
      </c>
      <c r="B18" s="19" t="s">
        <v>160</v>
      </c>
      <c r="C18" s="20" t="n">
        <v>9433.12</v>
      </c>
      <c r="D18" s="20" t="n">
        <v>5309.24</v>
      </c>
    </row>
    <row r="19" customFormat="false" ht="15" hidden="false" customHeight="true" outlineLevel="0" collapsed="false">
      <c r="A19" s="5" t="s">
        <v>178</v>
      </c>
      <c r="B19" s="19" t="s">
        <v>160</v>
      </c>
      <c r="C19" s="20" t="n">
        <v>59347.32</v>
      </c>
      <c r="D19" s="20" t="n">
        <v>53578.92</v>
      </c>
    </row>
    <row r="20" customFormat="false" ht="15" hidden="false" customHeight="true" outlineLevel="0" collapsed="false">
      <c r="A20" s="5" t="s">
        <v>179</v>
      </c>
      <c r="B20" s="19" t="s">
        <v>160</v>
      </c>
      <c r="C20" s="20" t="n">
        <v>12498.92</v>
      </c>
      <c r="D20" s="20" t="n">
        <v>10368.17</v>
      </c>
    </row>
    <row r="21" customFormat="false" ht="15" hidden="false" customHeight="true" outlineLevel="0" collapsed="false">
      <c r="A21" s="5" t="s">
        <v>180</v>
      </c>
      <c r="B21" s="19" t="s">
        <v>160</v>
      </c>
      <c r="C21" s="20" t="n">
        <v>44.79</v>
      </c>
      <c r="D21" s="20" t="n">
        <v>14.39</v>
      </c>
    </row>
    <row r="22" customFormat="false" ht="15" hidden="false" customHeight="true" outlineLevel="0" collapsed="false">
      <c r="A22" s="5" t="s">
        <v>181</v>
      </c>
      <c r="B22" s="19" t="s">
        <v>160</v>
      </c>
      <c r="C22" s="20" t="n">
        <v>7.99</v>
      </c>
      <c r="D22" s="20" t="n">
        <v>12.43</v>
      </c>
    </row>
    <row r="23" customFormat="false" ht="15" hidden="false" customHeight="true" outlineLevel="0" collapsed="false">
      <c r="A23" s="5" t="s">
        <v>182</v>
      </c>
      <c r="B23" s="19" t="s">
        <v>160</v>
      </c>
      <c r="C23" s="20" t="n">
        <v>813.15</v>
      </c>
      <c r="D23" s="20" t="n">
        <v>761.68</v>
      </c>
    </row>
    <row r="24" customFormat="false" ht="15" hidden="false" customHeight="true" outlineLevel="0" collapsed="false">
      <c r="A24" s="5" t="s">
        <v>183</v>
      </c>
      <c r="B24" s="19" t="s">
        <v>160</v>
      </c>
      <c r="C24" s="20" t="n">
        <v>891.59</v>
      </c>
      <c r="D24" s="20" t="n">
        <v>5043.32</v>
      </c>
    </row>
    <row r="25" customFormat="false" ht="15" hidden="false" customHeight="true" outlineLevel="0" collapsed="false">
      <c r="A25" s="5" t="s">
        <v>184</v>
      </c>
      <c r="B25" s="19" t="s">
        <v>160</v>
      </c>
      <c r="C25" s="20" t="n">
        <v>67.01</v>
      </c>
      <c r="D25" s="20" t="n">
        <v>1128.84</v>
      </c>
    </row>
    <row r="26" customFormat="false" ht="15" hidden="false" customHeight="true" outlineLevel="0" collapsed="false">
      <c r="A26" s="5" t="s">
        <v>185</v>
      </c>
      <c r="B26" s="19" t="s">
        <v>160</v>
      </c>
      <c r="C26" s="20" t="n">
        <v>0</v>
      </c>
      <c r="D26" s="20" t="n">
        <v>1822.16</v>
      </c>
    </row>
    <row r="27" customFormat="false" ht="15" hidden="false" customHeight="true" outlineLevel="0" collapsed="false">
      <c r="A27" s="5" t="s">
        <v>186</v>
      </c>
      <c r="B27" s="19" t="s">
        <v>160</v>
      </c>
      <c r="C27" s="20" t="n">
        <v>3466.33</v>
      </c>
      <c r="D27" s="20" t="n">
        <v>2432.85</v>
      </c>
    </row>
    <row r="29" customFormat="false" ht="15" hidden="false" customHeight="true" outlineLevel="0" collapsed="false">
      <c r="A29" s="22" t="s">
        <v>187</v>
      </c>
      <c r="B29" s="22"/>
      <c r="C29" s="22"/>
      <c r="D29" s="22"/>
    </row>
    <row r="30" customFormat="false" ht="15" hidden="false" customHeight="true" outlineLevel="0" collapsed="false">
      <c r="A30" s="6" t="s">
        <v>188</v>
      </c>
      <c r="C30" s="23" t="n">
        <f aca="false">C2+C3</f>
        <v>40655.68</v>
      </c>
      <c r="D30" s="23" t="n">
        <f aca="false">D2+D3</f>
        <v>35336.44</v>
      </c>
    </row>
    <row r="31" customFormat="false" ht="15" hidden="false" customHeight="true" outlineLevel="0" collapsed="false">
      <c r="A31" s="6" t="s">
        <v>189</v>
      </c>
      <c r="C31" s="23" t="n">
        <f aca="false">C8+C6+C7-C4</f>
        <v>6558.99</v>
      </c>
      <c r="D31" s="23" t="n">
        <f aca="false">D8+D6+D7-D4</f>
        <v>5983.87</v>
      </c>
    </row>
    <row r="32" customFormat="false" ht="15" hidden="false" customHeight="true" outlineLevel="0" collapsed="false">
      <c r="A32" s="6" t="s">
        <v>190</v>
      </c>
      <c r="C32" s="23" t="n">
        <f aca="false">C29-C7</f>
        <v>-3570.41</v>
      </c>
    </row>
    <row r="33" customFormat="false" ht="15" hidden="false" customHeight="true" outlineLevel="0" collapsed="false">
      <c r="A33" s="6" t="s">
        <v>191</v>
      </c>
      <c r="C33" s="23" t="n">
        <f aca="false">C11+C12</f>
        <v>5637.08</v>
      </c>
      <c r="D33" s="23" t="n">
        <f aca="false">D11+D12</f>
        <v>5294.08</v>
      </c>
    </row>
    <row r="34" customFormat="false" ht="15" hidden="false" customHeight="true" outlineLevel="0" collapsed="false">
      <c r="A34" s="6" t="s">
        <v>192</v>
      </c>
      <c r="C34" s="24" t="n">
        <f aca="false">(C10-C29)/C10</f>
        <v>1</v>
      </c>
    </row>
    <row r="35" customFormat="false" ht="15" hidden="false" customHeight="true" outlineLevel="0" collapsed="false">
      <c r="A35" s="6" t="s">
        <v>193</v>
      </c>
      <c r="C35" s="23" t="n">
        <f aca="false">C14+C15+C16+'AMB-Assumptions'!$B$4</f>
        <v>44368.88</v>
      </c>
    </row>
    <row r="36" customFormat="false" ht="15" hidden="false" customHeight="true" outlineLevel="0" collapsed="false">
      <c r="A36" s="6" t="s">
        <v>194</v>
      </c>
      <c r="C36" s="23" t="n">
        <f aca="false">C17+C18</f>
        <v>22978.64</v>
      </c>
      <c r="D36" s="23" t="n">
        <f aca="false">D17+D18</f>
        <v>16252.07</v>
      </c>
    </row>
    <row r="37" customFormat="false" ht="15" hidden="false" customHeight="true" outlineLevel="0" collapsed="false">
      <c r="A37" s="6" t="s">
        <v>195</v>
      </c>
      <c r="C37" s="23" t="n">
        <f aca="false">C21+C22+C23-C24-C25-C26</f>
        <v>-92.6700000000001</v>
      </c>
      <c r="D37" s="23" t="n">
        <f aca="false">D21+D22+D23-D24-D25-D26</f>
        <v>-7205.82</v>
      </c>
    </row>
    <row r="39" customFormat="false" ht="45" hidden="false" customHeight="true" outlineLevel="0" collapsed="false">
      <c r="A39" s="13" t="s">
        <v>196</v>
      </c>
      <c r="B39" s="13"/>
      <c r="C39" s="13"/>
      <c r="D39" s="13"/>
    </row>
  </sheetData>
  <mergeCells count="2">
    <mergeCell ref="A29:D29"/>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0"/>
    <col collapsed="false" customWidth="true" hidden="false" outlineLevel="0" max="6" min="3" style="1" width="15"/>
  </cols>
  <sheetData>
    <row r="1" customFormat="false" ht="15.75" hidden="false" customHeight="true" outlineLevel="0" collapsed="false">
      <c r="A1" s="25" t="s">
        <v>197</v>
      </c>
    </row>
    <row r="2" customFormat="false" ht="15" hidden="false" customHeight="true" outlineLevel="0" collapsed="false">
      <c r="A2" s="3" t="s">
        <v>198</v>
      </c>
    </row>
    <row r="4" customFormat="false" ht="15" hidden="false" customHeight="true" outlineLevel="0" collapsed="false">
      <c r="A4" s="4" t="s">
        <v>199</v>
      </c>
      <c r="B4" s="4" t="s">
        <v>157</v>
      </c>
      <c r="C4" s="4" t="s">
        <v>200</v>
      </c>
      <c r="D4" s="4" t="s">
        <v>201</v>
      </c>
      <c r="E4" s="4" t="s">
        <v>202</v>
      </c>
      <c r="F4" s="4" t="s">
        <v>203</v>
      </c>
    </row>
    <row r="5" customFormat="false" ht="15" hidden="false" customHeight="true" outlineLevel="0" collapsed="false">
      <c r="A5" s="5" t="s">
        <v>159</v>
      </c>
      <c r="B5" s="3" t="s">
        <v>160</v>
      </c>
      <c r="C5" s="20" t="n">
        <v>25052.05</v>
      </c>
      <c r="D5" s="26" t="n">
        <f aca="false">E5-C5</f>
        <v>15393.99</v>
      </c>
      <c r="E5" s="20" t="n">
        <v>40446.04</v>
      </c>
    </row>
    <row r="6" customFormat="false" ht="15" hidden="false" customHeight="true" outlineLevel="0" collapsed="false">
      <c r="A6" s="5" t="s">
        <v>204</v>
      </c>
      <c r="B6" s="3" t="s">
        <v>160</v>
      </c>
      <c r="C6" s="20" t="n">
        <v>9.49</v>
      </c>
      <c r="D6" s="26" t="n">
        <f aca="false">E6-C6</f>
        <v>200.15</v>
      </c>
      <c r="E6" s="20" t="n">
        <v>209.64</v>
      </c>
    </row>
    <row r="7" customFormat="false" ht="15" hidden="false" customHeight="true" outlineLevel="0" collapsed="false">
      <c r="A7" s="5" t="s">
        <v>162</v>
      </c>
      <c r="B7" s="3" t="s">
        <v>160</v>
      </c>
      <c r="C7" s="20" t="n">
        <v>766.17</v>
      </c>
      <c r="D7" s="26" t="n">
        <f aca="false">E7-C7</f>
        <v>68.1700000000001</v>
      </c>
      <c r="E7" s="20" t="n">
        <v>834.34</v>
      </c>
    </row>
    <row r="8" customFormat="false" ht="15" hidden="false" customHeight="true" outlineLevel="0" collapsed="false">
      <c r="A8" s="5" t="s">
        <v>164</v>
      </c>
      <c r="B8" s="3" t="s">
        <v>160</v>
      </c>
      <c r="C8" s="20" t="n">
        <v>172.56</v>
      </c>
      <c r="D8" s="26" t="n">
        <f aca="false">E8-C8</f>
        <v>51.05</v>
      </c>
      <c r="E8" s="20" t="n">
        <v>223.61</v>
      </c>
    </row>
    <row r="9" customFormat="false" ht="15" hidden="false" customHeight="true" outlineLevel="0" collapsed="false">
      <c r="A9" s="5" t="s">
        <v>165</v>
      </c>
      <c r="B9" s="3" t="s">
        <v>160</v>
      </c>
      <c r="C9" s="20" t="n">
        <v>2035.2</v>
      </c>
      <c r="D9" s="26" t="n">
        <f aca="false">E9-C9</f>
        <v>1535.21</v>
      </c>
      <c r="E9" s="20" t="n">
        <v>3570.41</v>
      </c>
    </row>
    <row r="10" customFormat="false" ht="15" hidden="false" customHeight="true" outlineLevel="0" collapsed="false">
      <c r="A10" s="5" t="s">
        <v>166</v>
      </c>
      <c r="B10" s="3" t="s">
        <v>160</v>
      </c>
      <c r="C10" s="20" t="n">
        <v>1488.25</v>
      </c>
      <c r="D10" s="26" t="n">
        <f aca="false">E10-C10</f>
        <v>2111.06</v>
      </c>
      <c r="E10" s="20" t="n">
        <v>3599.31</v>
      </c>
    </row>
    <row r="11" customFormat="false" ht="15" hidden="false" customHeight="true" outlineLevel="0" collapsed="false">
      <c r="A11" s="6" t="s">
        <v>205</v>
      </c>
      <c r="C11" s="23" t="n">
        <f aca="false">C5+C6</f>
        <v>25061.54</v>
      </c>
      <c r="D11" s="23" t="n">
        <f aca="false">D5+D6</f>
        <v>15594.14</v>
      </c>
      <c r="E11" s="23" t="n">
        <f aca="false">E5+E6</f>
        <v>40655.68</v>
      </c>
    </row>
    <row r="12" customFormat="false" ht="15" hidden="false" customHeight="true" outlineLevel="0" collapsed="false">
      <c r="A12" s="6" t="s">
        <v>189</v>
      </c>
      <c r="C12" s="27" t="n">
        <f aca="false">C10+C8+C9-C7</f>
        <v>2929.84</v>
      </c>
      <c r="D12" s="27" t="n">
        <f aca="false">D10+D8+D9-D7</f>
        <v>3629.15</v>
      </c>
      <c r="E12" s="27" t="n">
        <f aca="false">E10+E8+E9-E7</f>
        <v>6558.99</v>
      </c>
    </row>
    <row r="13" customFormat="false" ht="15" hidden="false" customHeight="true" outlineLevel="0" collapsed="false">
      <c r="A13" s="6" t="s">
        <v>206</v>
      </c>
      <c r="C13" s="24" t="n">
        <f aca="false">C12/C11</f>
        <v>0.11690582462211</v>
      </c>
      <c r="D13" s="24" t="n">
        <f aca="false">D12/D11</f>
        <v>0.232725241661291</v>
      </c>
      <c r="E13" s="24" t="n">
        <f aca="false">E12/E11</f>
        <v>0.161330224952577</v>
      </c>
    </row>
    <row r="14" customFormat="false" ht="15" hidden="false" customHeight="true" outlineLevel="0" collapsed="false">
      <c r="A14" s="5" t="s">
        <v>207</v>
      </c>
      <c r="C14" s="28" t="n">
        <f aca="false">C11/$E$11</f>
        <v>0.616433915261041</v>
      </c>
      <c r="D14" s="28" t="n">
        <f aca="false">D11/$E$11</f>
        <v>0.383566084738959</v>
      </c>
    </row>
    <row r="15" customFormat="false" ht="15" hidden="false" customHeight="true" outlineLevel="0" collapsed="false">
      <c r="A15" s="5" t="s">
        <v>208</v>
      </c>
      <c r="C15" s="28" t="n">
        <f aca="false">C12/$E$12</f>
        <v>0.446690725248857</v>
      </c>
      <c r="D15" s="28" t="n">
        <f aca="false">D12/$E$12</f>
        <v>0.553309274751143</v>
      </c>
    </row>
    <row r="17" customFormat="false" ht="60" hidden="false" customHeight="true" outlineLevel="0" collapsed="false">
      <c r="A17" s="29" t="s">
        <v>209</v>
      </c>
      <c r="B17" s="29"/>
      <c r="C17" s="29"/>
      <c r="D17" s="29"/>
      <c r="E17" s="29"/>
      <c r="F17" s="29"/>
    </row>
    <row r="21" customFormat="false" ht="15" hidden="false" customHeight="true" outlineLevel="0" collapsed="false">
      <c r="A21" s="22" t="s">
        <v>210</v>
      </c>
      <c r="B21" s="22"/>
      <c r="C21" s="22"/>
      <c r="D21" s="22"/>
      <c r="E21" s="22"/>
      <c r="F21" s="22"/>
    </row>
    <row r="22" customFormat="false" ht="105" hidden="false" customHeight="true" outlineLevel="0" collapsed="false">
      <c r="A22" s="13" t="s">
        <v>211</v>
      </c>
      <c r="B22" s="13"/>
      <c r="C22" s="13"/>
      <c r="D22" s="13"/>
      <c r="E22" s="13"/>
      <c r="F22" s="13"/>
    </row>
    <row r="28" customFormat="false" ht="15" hidden="false" customHeight="true" outlineLevel="0" collapsed="false">
      <c r="A28" s="22" t="s">
        <v>212</v>
      </c>
      <c r="B28" s="22"/>
      <c r="C28" s="22"/>
      <c r="D28" s="22"/>
      <c r="E28" s="22"/>
      <c r="F28" s="22"/>
    </row>
    <row r="29" customFormat="false" ht="26.25" hidden="false" customHeight="true" outlineLevel="0" collapsed="false">
      <c r="A29" s="4" t="s">
        <v>213</v>
      </c>
      <c r="B29" s="4"/>
      <c r="C29" s="4" t="s">
        <v>214</v>
      </c>
      <c r="D29" s="4" t="s">
        <v>215</v>
      </c>
      <c r="E29" s="4" t="s">
        <v>216</v>
      </c>
      <c r="F29" s="4"/>
    </row>
    <row r="30" customFormat="false" ht="15" hidden="false" customHeight="true" outlineLevel="0" collapsed="false">
      <c r="A30" s="6" t="s">
        <v>217</v>
      </c>
      <c r="C30" s="20" t="n">
        <v>2929.84</v>
      </c>
      <c r="D30" s="20" t="n">
        <v>99675.72</v>
      </c>
      <c r="E30" s="30" t="n">
        <f aca="false">D30/C30</f>
        <v>34.0208748600606</v>
      </c>
    </row>
    <row r="31" customFormat="false" ht="15" hidden="false" customHeight="true" outlineLevel="0" collapsed="false">
      <c r="A31" s="6" t="s">
        <v>218</v>
      </c>
      <c r="C31" s="20" t="n">
        <v>6558.99</v>
      </c>
      <c r="D31" s="20" t="n">
        <v>111501.25</v>
      </c>
      <c r="E31" s="31" t="n">
        <f aca="false">D31/C31</f>
        <v>16.9997591092531</v>
      </c>
    </row>
    <row r="33" customFormat="false" ht="60" hidden="false" customHeight="true" outlineLevel="0" collapsed="false">
      <c r="A33" s="13" t="s">
        <v>219</v>
      </c>
      <c r="B33" s="13"/>
      <c r="C33" s="13"/>
      <c r="D33" s="13"/>
      <c r="E33" s="13"/>
      <c r="F33" s="13"/>
    </row>
    <row r="36" customFormat="false" ht="15" hidden="false" customHeight="true" outlineLevel="0" collapsed="false">
      <c r="A36" s="8" t="s">
        <v>220</v>
      </c>
      <c r="B36" s="8"/>
      <c r="C36" s="8"/>
      <c r="D36" s="8"/>
      <c r="E36" s="8"/>
      <c r="F36" s="8"/>
    </row>
    <row r="37" customFormat="false" ht="15" hidden="false" customHeight="true" outlineLevel="0" collapsed="false">
      <c r="A37" s="6" t="s">
        <v>221</v>
      </c>
      <c r="C37" s="26" t="n">
        <f aca="false">C11+D11</f>
        <v>40655.68</v>
      </c>
      <c r="D37" s="26" t="n">
        <f aca="false">E11</f>
        <v>40655.68</v>
      </c>
      <c r="E37" s="32" t="str">
        <f aca="false">IF(ABS(C37-D37)&lt;0.01,"TIES","DOES NOT TIE")</f>
        <v>TIES</v>
      </c>
    </row>
    <row r="38" customFormat="false" ht="15" hidden="false" customHeight="true" outlineLevel="0" collapsed="false">
      <c r="A38" s="6" t="s">
        <v>222</v>
      </c>
      <c r="C38" s="26" t="n">
        <f aca="false">C12+D12</f>
        <v>6558.99</v>
      </c>
      <c r="D38" s="26" t="n">
        <f aca="false">E12</f>
        <v>6558.99</v>
      </c>
      <c r="E38" s="32" t="str">
        <f aca="false">IF(ABS(C38-D38)&lt;0.01,"TIES","DOES NOT TIE")</f>
        <v>TIES</v>
      </c>
    </row>
    <row r="39" customFormat="false" ht="15" hidden="false" customHeight="true" outlineLevel="0" collapsed="false">
      <c r="C39" s="3" t="s">
        <v>223</v>
      </c>
      <c r="D39" s="3" t="s">
        <v>224</v>
      </c>
      <c r="E39" s="3" t="s">
        <v>203</v>
      </c>
    </row>
    <row r="41" customFormat="false" ht="75" hidden="false" customHeight="true" outlineLevel="0" collapsed="false">
      <c r="A41" s="13" t="s">
        <v>225</v>
      </c>
      <c r="B41" s="13"/>
      <c r="C41" s="13"/>
      <c r="D41" s="13"/>
      <c r="E41" s="13"/>
      <c r="F41" s="13"/>
    </row>
    <row r="44" customFormat="false" ht="15" hidden="false" customHeight="true" outlineLevel="0" collapsed="false">
      <c r="A44" s="8" t="s">
        <v>220</v>
      </c>
      <c r="B44" s="8"/>
      <c r="C44" s="8"/>
      <c r="D44" s="8"/>
      <c r="E44" s="8"/>
      <c r="F44" s="8"/>
    </row>
    <row r="45" customFormat="false" ht="15" hidden="false" customHeight="true" outlineLevel="0" collapsed="false">
      <c r="A45" s="6" t="s">
        <v>221</v>
      </c>
      <c r="C45" s="26" t="n">
        <f aca="false">C11+D11</f>
        <v>40655.68</v>
      </c>
      <c r="D45" s="26" t="n">
        <f aca="false">E11</f>
        <v>40655.68</v>
      </c>
      <c r="E45" s="32" t="str">
        <f aca="false">IF(ABS(C45-D45)&lt;0.01,"TIES","DOES NOT TIE")</f>
        <v>TIES</v>
      </c>
    </row>
    <row r="46" customFormat="false" ht="15" hidden="false" customHeight="true" outlineLevel="0" collapsed="false">
      <c r="A46" s="6" t="s">
        <v>222</v>
      </c>
      <c r="C46" s="26" t="n">
        <f aca="false">C12+D12</f>
        <v>6558.99</v>
      </c>
      <c r="D46" s="26" t="n">
        <f aca="false">E12</f>
        <v>6558.99</v>
      </c>
      <c r="E46" s="32" t="str">
        <f aca="false">IF(ABS(C46-D46)&lt;0.01,"TIES","DOES NOT TIE")</f>
        <v>TIES</v>
      </c>
    </row>
    <row r="47" customFormat="false" ht="15" hidden="false" customHeight="true" outlineLevel="0" collapsed="false">
      <c r="C47" s="3" t="s">
        <v>223</v>
      </c>
      <c r="D47" s="3" t="s">
        <v>224</v>
      </c>
      <c r="E47" s="3" t="s">
        <v>203</v>
      </c>
    </row>
    <row r="49" customFormat="false" ht="75" hidden="false" customHeight="true" outlineLevel="0" collapsed="false">
      <c r="A49" s="13" t="s">
        <v>225</v>
      </c>
      <c r="B49" s="13"/>
      <c r="C49" s="13"/>
      <c r="D49" s="13"/>
      <c r="E49" s="13"/>
      <c r="F49" s="13"/>
    </row>
    <row r="52" customFormat="false" ht="15" hidden="false" customHeight="true" outlineLevel="0" collapsed="false">
      <c r="A52" s="8" t="s">
        <v>220</v>
      </c>
      <c r="B52" s="8"/>
      <c r="C52" s="8"/>
      <c r="D52" s="8"/>
      <c r="E52" s="8"/>
      <c r="F52" s="8"/>
    </row>
    <row r="53" customFormat="false" ht="15" hidden="false" customHeight="true" outlineLevel="0" collapsed="false">
      <c r="A53" s="6" t="s">
        <v>221</v>
      </c>
      <c r="C53" s="26" t="n">
        <f aca="false">C11+D11</f>
        <v>40655.68</v>
      </c>
      <c r="D53" s="26" t="n">
        <f aca="false">E11</f>
        <v>40655.68</v>
      </c>
      <c r="E53" s="32" t="str">
        <f aca="false">IF(ABS(C53-D53)&lt;0.01,"TIES","DOES NOT TIE")</f>
        <v>TIES</v>
      </c>
    </row>
    <row r="54" customFormat="false" ht="15" hidden="false" customHeight="true" outlineLevel="0" collapsed="false">
      <c r="A54" s="6" t="s">
        <v>222</v>
      </c>
      <c r="C54" s="26" t="n">
        <f aca="false">C12+D12</f>
        <v>6558.99</v>
      </c>
      <c r="D54" s="26" t="n">
        <f aca="false">E12</f>
        <v>6558.99</v>
      </c>
      <c r="E54" s="32" t="str">
        <f aca="false">IF(ABS(C54-D54)&lt;0.01,"TIES","DOES NOT TIE")</f>
        <v>TIES</v>
      </c>
    </row>
    <row r="55" customFormat="false" ht="15" hidden="false" customHeight="true" outlineLevel="0" collapsed="false">
      <c r="C55" s="3" t="s">
        <v>223</v>
      </c>
      <c r="D55" s="3" t="s">
        <v>224</v>
      </c>
      <c r="E55" s="3" t="s">
        <v>203</v>
      </c>
    </row>
    <row r="57" customFormat="false" ht="75" hidden="false" customHeight="true" outlineLevel="0" collapsed="false">
      <c r="A57" s="13" t="s">
        <v>225</v>
      </c>
      <c r="B57" s="13"/>
      <c r="C57" s="13"/>
      <c r="D57" s="13"/>
      <c r="E57" s="13"/>
      <c r="F57" s="13"/>
    </row>
    <row r="60" customFormat="false" ht="15" hidden="false" customHeight="true" outlineLevel="0" collapsed="false">
      <c r="A60" s="8" t="s">
        <v>220</v>
      </c>
      <c r="B60" s="8"/>
      <c r="C60" s="8"/>
      <c r="D60" s="8"/>
      <c r="E60" s="8"/>
      <c r="F60" s="8"/>
    </row>
    <row r="61" customFormat="false" ht="15" hidden="false" customHeight="true" outlineLevel="0" collapsed="false">
      <c r="A61" s="6" t="s">
        <v>221</v>
      </c>
      <c r="C61" s="26" t="n">
        <f aca="false">C11+D11</f>
        <v>40655.68</v>
      </c>
      <c r="D61" s="26" t="n">
        <f aca="false">E11</f>
        <v>40655.68</v>
      </c>
      <c r="E61" s="32" t="str">
        <f aca="false">IF(ABS(C61-D61)&lt;0.01,"TIES","DOES NOT TIE")</f>
        <v>TIES</v>
      </c>
    </row>
    <row r="62" customFormat="false" ht="15" hidden="false" customHeight="true" outlineLevel="0" collapsed="false">
      <c r="A62" s="6" t="s">
        <v>222</v>
      </c>
      <c r="C62" s="26" t="n">
        <f aca="false">C12+D12</f>
        <v>6558.99</v>
      </c>
      <c r="D62" s="26" t="n">
        <f aca="false">E12</f>
        <v>6558.99</v>
      </c>
      <c r="E62" s="32" t="str">
        <f aca="false">IF(ABS(C62-D62)&lt;0.01,"TIES","DOES NOT TIE")</f>
        <v>TIES</v>
      </c>
    </row>
    <row r="63" customFormat="false" ht="15" hidden="false" customHeight="true" outlineLevel="0" collapsed="false">
      <c r="C63" s="3" t="s">
        <v>223</v>
      </c>
      <c r="D63" s="3" t="s">
        <v>224</v>
      </c>
      <c r="E63" s="3" t="s">
        <v>203</v>
      </c>
    </row>
    <row r="65" customFormat="false" ht="75" hidden="false" customHeight="true" outlineLevel="0" collapsed="false">
      <c r="A65" s="13" t="s">
        <v>225</v>
      </c>
      <c r="B65" s="13"/>
      <c r="C65" s="13"/>
      <c r="D65" s="13"/>
      <c r="E65" s="13"/>
      <c r="F65" s="13"/>
    </row>
    <row r="68" customFormat="false" ht="15" hidden="false" customHeight="true" outlineLevel="0" collapsed="false">
      <c r="A68" s="8" t="s">
        <v>220</v>
      </c>
      <c r="B68" s="8"/>
      <c r="C68" s="8"/>
      <c r="D68" s="8"/>
      <c r="E68" s="8"/>
      <c r="F68" s="8"/>
    </row>
    <row r="69" customFormat="false" ht="15" hidden="false" customHeight="true" outlineLevel="0" collapsed="false">
      <c r="A69" s="6" t="s">
        <v>221</v>
      </c>
      <c r="C69" s="26" t="n">
        <f aca="false">C11+D11</f>
        <v>40655.68</v>
      </c>
      <c r="D69" s="26" t="n">
        <f aca="false">E11</f>
        <v>40655.68</v>
      </c>
      <c r="E69" s="32" t="str">
        <f aca="false">IF(ABS(C69-D69)&lt;0.01,"TIES","DOES NOT TIE")</f>
        <v>TIES</v>
      </c>
    </row>
    <row r="70" customFormat="false" ht="15" hidden="false" customHeight="true" outlineLevel="0" collapsed="false">
      <c r="A70" s="6" t="s">
        <v>222</v>
      </c>
      <c r="C70" s="26" t="n">
        <f aca="false">C12+D12</f>
        <v>6558.99</v>
      </c>
      <c r="D70" s="26" t="n">
        <f aca="false">E12</f>
        <v>6558.99</v>
      </c>
      <c r="E70" s="32" t="str">
        <f aca="false">IF(ABS(C70-D70)&lt;0.01,"TIES","DOES NOT TIE")</f>
        <v>TIES</v>
      </c>
    </row>
    <row r="71" customFormat="false" ht="15" hidden="false" customHeight="true" outlineLevel="0" collapsed="false">
      <c r="C71" s="3" t="s">
        <v>223</v>
      </c>
      <c r="D71" s="3" t="s">
        <v>224</v>
      </c>
      <c r="E71" s="3" t="s">
        <v>203</v>
      </c>
    </row>
    <row r="73" customFormat="false" ht="75" hidden="false" customHeight="true" outlineLevel="0" collapsed="false">
      <c r="A73" s="13" t="s">
        <v>225</v>
      </c>
      <c r="B73" s="13"/>
      <c r="C73" s="13"/>
      <c r="D73" s="13"/>
      <c r="E73" s="13"/>
      <c r="F73" s="13"/>
    </row>
    <row r="76" customFormat="false" ht="15" hidden="false" customHeight="true" outlineLevel="0" collapsed="false">
      <c r="A76" s="8" t="s">
        <v>220</v>
      </c>
      <c r="B76" s="8"/>
      <c r="C76" s="8"/>
      <c r="D76" s="8"/>
      <c r="E76" s="8"/>
      <c r="F76" s="8"/>
    </row>
    <row r="77" customFormat="false" ht="15" hidden="false" customHeight="true" outlineLevel="0" collapsed="false">
      <c r="A77" s="6" t="s">
        <v>221</v>
      </c>
      <c r="C77" s="26" t="n">
        <f aca="false">C11+D11</f>
        <v>40655.68</v>
      </c>
      <c r="D77" s="26" t="n">
        <f aca="false">E11</f>
        <v>40655.68</v>
      </c>
      <c r="E77" s="32" t="str">
        <f aca="false">IF(ABS(C77-D77)&lt;0.01,"TIES","DOES NOT TIE")</f>
        <v>TIES</v>
      </c>
    </row>
    <row r="78" customFormat="false" ht="15" hidden="false" customHeight="true" outlineLevel="0" collapsed="false">
      <c r="A78" s="6" t="s">
        <v>222</v>
      </c>
      <c r="C78" s="26" t="n">
        <f aca="false">C12+D12</f>
        <v>6558.99</v>
      </c>
      <c r="D78" s="26" t="n">
        <f aca="false">E12</f>
        <v>6558.99</v>
      </c>
      <c r="E78" s="32" t="str">
        <f aca="false">IF(ABS(C78-D78)&lt;0.01,"TIES","DOES NOT TIE")</f>
        <v>TIES</v>
      </c>
    </row>
    <row r="79" customFormat="false" ht="15" hidden="false" customHeight="true" outlineLevel="0" collapsed="false">
      <c r="C79" s="3" t="s">
        <v>223</v>
      </c>
      <c r="D79" s="3" t="s">
        <v>224</v>
      </c>
      <c r="E79" s="3" t="s">
        <v>203</v>
      </c>
    </row>
    <row r="81" customFormat="false" ht="75" hidden="false" customHeight="true" outlineLevel="0" collapsed="false">
      <c r="A81" s="13" t="s">
        <v>225</v>
      </c>
      <c r="B81" s="13"/>
      <c r="C81" s="13"/>
      <c r="D81" s="13"/>
      <c r="E81" s="13"/>
      <c r="F81" s="13"/>
    </row>
  </sheetData>
  <mergeCells count="17">
    <mergeCell ref="A17:F17"/>
    <mergeCell ref="A21:F21"/>
    <mergeCell ref="A22:F22"/>
    <mergeCell ref="A28:F28"/>
    <mergeCell ref="A33:F33"/>
    <mergeCell ref="A36:F36"/>
    <mergeCell ref="A41:F41"/>
    <mergeCell ref="A44:F44"/>
    <mergeCell ref="A49:F49"/>
    <mergeCell ref="A52:F52"/>
    <mergeCell ref="A57:F57"/>
    <mergeCell ref="A60:F60"/>
    <mergeCell ref="A65:F65"/>
    <mergeCell ref="A68:F68"/>
    <mergeCell ref="A73:F73"/>
    <mergeCell ref="A76:F76"/>
    <mergeCell ref="A81:F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0"/>
    <col collapsed="false" customWidth="true" hidden="false" outlineLevel="0" max="4" min="3" style="1" width="14"/>
    <col collapsed="false" customWidth="true" hidden="false" outlineLevel="0" max="5" min="5" style="1" width="62"/>
  </cols>
  <sheetData>
    <row r="1" customFormat="false" ht="15.75" hidden="false" customHeight="true" outlineLevel="0" collapsed="false">
      <c r="A1" s="25" t="s">
        <v>226</v>
      </c>
    </row>
    <row r="2" customFormat="false" ht="15" hidden="false" customHeight="true" outlineLevel="0" collapsed="false">
      <c r="A2" s="3" t="s">
        <v>227</v>
      </c>
    </row>
    <row r="4" customFormat="false" ht="15" hidden="false" customHeight="true" outlineLevel="0" collapsed="false">
      <c r="A4" s="4" t="s">
        <v>47</v>
      </c>
      <c r="B4" s="4" t="s">
        <v>157</v>
      </c>
      <c r="C4" s="4" t="s">
        <v>224</v>
      </c>
      <c r="D4" s="4" t="s">
        <v>228</v>
      </c>
      <c r="E4" s="4" t="s">
        <v>229</v>
      </c>
    </row>
    <row r="5" customFormat="false" ht="45" hidden="false" customHeight="true" outlineLevel="0" collapsed="false">
      <c r="A5" s="6" t="s">
        <v>230</v>
      </c>
      <c r="B5" s="3" t="s">
        <v>160</v>
      </c>
      <c r="C5" s="20" t="n">
        <v>-2338.31</v>
      </c>
      <c r="D5" s="23" t="n">
        <v>830.28</v>
      </c>
      <c r="E5" s="16" t="s">
        <v>231</v>
      </c>
    </row>
    <row r="6" customFormat="false" ht="45" hidden="false" customHeight="true" outlineLevel="0" collapsed="false">
      <c r="A6" s="6" t="s">
        <v>232</v>
      </c>
      <c r="B6" s="3" t="s">
        <v>160</v>
      </c>
      <c r="C6" s="20" t="n">
        <v>1250.76</v>
      </c>
      <c r="D6" s="23" t="n">
        <v>0</v>
      </c>
      <c r="E6" s="16" t="s">
        <v>233</v>
      </c>
    </row>
    <row r="7" customFormat="false" ht="45" hidden="false" customHeight="true" outlineLevel="0" collapsed="false">
      <c r="A7" s="6" t="s">
        <v>234</v>
      </c>
      <c r="B7" s="3" t="s">
        <v>160</v>
      </c>
      <c r="C7" s="20" t="n">
        <v>614.1</v>
      </c>
      <c r="D7" s="23" t="n">
        <v>614.1</v>
      </c>
      <c r="E7" s="16" t="s">
        <v>235</v>
      </c>
    </row>
    <row r="8" customFormat="false" ht="30" hidden="false" customHeight="true" outlineLevel="0" collapsed="false">
      <c r="A8" s="6" t="s">
        <v>236</v>
      </c>
      <c r="B8" s="3" t="s">
        <v>160</v>
      </c>
      <c r="C8" s="20" t="n">
        <v>3466.33</v>
      </c>
      <c r="D8" s="23" t="n">
        <v>3466.33</v>
      </c>
      <c r="E8" s="16" t="s">
        <v>237</v>
      </c>
    </row>
    <row r="9" customFormat="false" ht="45" hidden="false" customHeight="true" outlineLevel="0" collapsed="false">
      <c r="A9" s="6" t="s">
        <v>238</v>
      </c>
      <c r="B9" s="3" t="s">
        <v>160</v>
      </c>
      <c r="C9" s="20" t="n">
        <v>345.78</v>
      </c>
      <c r="D9" s="23" t="n">
        <v>0</v>
      </c>
      <c r="E9" s="16" t="s">
        <v>239</v>
      </c>
    </row>
    <row r="10" customFormat="false" ht="30" hidden="false" customHeight="true" outlineLevel="0" collapsed="false">
      <c r="A10" s="6" t="s">
        <v>240</v>
      </c>
      <c r="B10" s="3" t="s">
        <v>160</v>
      </c>
      <c r="C10" s="20" t="n">
        <v>300.54</v>
      </c>
      <c r="D10" s="23" t="n">
        <v>0</v>
      </c>
      <c r="E10" s="16" t="s">
        <v>241</v>
      </c>
    </row>
    <row r="11" customFormat="false" ht="30" hidden="false" customHeight="true" outlineLevel="0" collapsed="false">
      <c r="A11" s="6" t="s">
        <v>179</v>
      </c>
      <c r="B11" s="3" t="s">
        <v>160</v>
      </c>
      <c r="C11" s="20" t="n">
        <v>12498.92</v>
      </c>
      <c r="D11" s="23" t="n">
        <v>12498.92</v>
      </c>
      <c r="E11" s="16" t="s">
        <v>242</v>
      </c>
    </row>
    <row r="12" customFormat="false" ht="45" hidden="false" customHeight="true" outlineLevel="0" collapsed="false">
      <c r="A12" s="6" t="s">
        <v>162</v>
      </c>
      <c r="B12" s="3" t="s">
        <v>160</v>
      </c>
      <c r="C12" s="20" t="n">
        <v>834.34</v>
      </c>
      <c r="D12" s="23" t="n">
        <v>0</v>
      </c>
      <c r="E12" s="16" t="s">
        <v>243</v>
      </c>
    </row>
    <row r="14" customFormat="false" ht="45" hidden="false" customHeight="true" outlineLevel="0" collapsed="false">
      <c r="A14" s="13" t="s">
        <v>244</v>
      </c>
      <c r="B14" s="13"/>
      <c r="C14" s="13"/>
      <c r="D14" s="13"/>
      <c r="E14" s="13"/>
    </row>
  </sheetData>
  <mergeCells count="1">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3" min="3" style="1" width="19"/>
  </cols>
  <sheetData>
    <row r="1" customFormat="false" ht="15.75" hidden="false" customHeight="true" outlineLevel="0" collapsed="false">
      <c r="A1" s="25" t="s">
        <v>245</v>
      </c>
    </row>
    <row r="2" customFormat="false" ht="15" hidden="false" customHeight="true" outlineLevel="0" collapsed="false">
      <c r="A2" s="3" t="s">
        <v>246</v>
      </c>
    </row>
    <row r="4" customFormat="false" ht="26.25" hidden="false" customHeight="true" outlineLevel="0" collapsed="false">
      <c r="A4" s="4" t="s">
        <v>199</v>
      </c>
      <c r="B4" s="4" t="s">
        <v>64</v>
      </c>
      <c r="C4" s="4" t="s">
        <v>158</v>
      </c>
    </row>
    <row r="5" customFormat="false" ht="15" hidden="false" customHeight="true" outlineLevel="0" collapsed="false">
      <c r="A5" s="22" t="s">
        <v>247</v>
      </c>
      <c r="B5" s="22"/>
      <c r="C5" s="22"/>
    </row>
    <row r="6" customFormat="false" ht="15" hidden="false" customHeight="true" outlineLevel="0" collapsed="false">
      <c r="A6" s="5" t="s">
        <v>162</v>
      </c>
      <c r="B6" s="33" t="n">
        <f aca="false">'AMB-Source Data'!C4/('AMB-Source Data'!C2+'AMB-Source Data'!C3)</f>
        <v>0.0205221017087895</v>
      </c>
      <c r="C6" s="33" t="n">
        <f aca="false">'AMB-Source Data'!D4/('AMB-Source Data'!D2+'AMB-Source Data'!D3)</f>
        <v>0.0751136786841006</v>
      </c>
    </row>
    <row r="7" customFormat="false" ht="15" hidden="false" customHeight="true" outlineLevel="0" collapsed="false">
      <c r="A7" s="6" t="s">
        <v>189</v>
      </c>
      <c r="B7" s="34" t="n">
        <f aca="false">('AMB-Source Data'!C8+'AMB-Source Data'!C6+'AMB-Source Data'!C7-'AMB-Source Data'!C4)/('AMB-Source Data'!C2+'AMB-Source Data'!C3)</f>
        <v>0.161330224952577</v>
      </c>
      <c r="C7" s="34" t="n">
        <f aca="false">('AMB-Source Data'!D8+'AMB-Source Data'!D6+'AMB-Source Data'!D7-'AMB-Source Data'!D4)/('AMB-Source Data'!D2+'AMB-Source Data'!D3)</f>
        <v>0.169339922187974</v>
      </c>
    </row>
    <row r="8" customFormat="false" ht="15" hidden="false" customHeight="true" outlineLevel="0" collapsed="false">
      <c r="A8" s="5" t="s">
        <v>165</v>
      </c>
      <c r="B8" s="33" t="n">
        <f aca="false">'AMB-Source Data'!C7/('AMB-Source Data'!C2+'AMB-Source Data'!C3)</f>
        <v>0.0878206931971129</v>
      </c>
      <c r="C8" s="33" t="n">
        <f aca="false">'AMB-Source Data'!D7/('AMB-Source Data'!D2+'AMB-Source Data'!D3)</f>
        <v>0.0650048505169168</v>
      </c>
    </row>
    <row r="9" customFormat="false" ht="15" hidden="false" customHeight="true" outlineLevel="0" collapsed="false">
      <c r="A9" s="5" t="s">
        <v>164</v>
      </c>
      <c r="B9" s="33" t="n">
        <f aca="false">'AMB-Source Data'!C6/('AMB-Source Data'!C2+'AMB-Source Data'!C3)</f>
        <v>0.00550009248400224</v>
      </c>
      <c r="C9" s="33" t="n">
        <f aca="false">'AMB-Source Data'!D6/('AMB-Source Data'!D2+'AMB-Source Data'!D3)</f>
        <v>0.0061109721296203</v>
      </c>
    </row>
    <row r="10" customFormat="false" ht="15" hidden="false" customHeight="true" outlineLevel="0" collapsed="false">
      <c r="A10" s="6" t="s">
        <v>166</v>
      </c>
      <c r="B10" s="34" t="n">
        <f aca="false">'AMB-Source Data'!C8/('AMB-Source Data'!C2+'AMB-Source Data'!C3)</f>
        <v>0.0885315409802517</v>
      </c>
      <c r="C10" s="34" t="n">
        <f aca="false">'AMB-Source Data'!D8/('AMB-Source Data'!D2+'AMB-Source Data'!D3)</f>
        <v>0.173337778225537</v>
      </c>
    </row>
    <row r="11" customFormat="false" ht="15" hidden="false" customHeight="true" outlineLevel="0" collapsed="false">
      <c r="A11" s="5" t="s">
        <v>248</v>
      </c>
      <c r="B11" s="33" t="n">
        <f aca="false">'AMB-Source Data'!C9/('AMB-Source Data'!C2+'AMB-Source Data'!C3)</f>
        <v>0.0073923250084613</v>
      </c>
      <c r="C11" s="33" t="n">
        <f aca="false">'AMB-Source Data'!D9/('AMB-Source Data'!D2+'AMB-Source Data'!D3)</f>
        <v>0.000607588087537964</v>
      </c>
    </row>
    <row r="12" customFormat="false" ht="15" hidden="false" customHeight="true" outlineLevel="0" collapsed="false">
      <c r="A12" s="6" t="s">
        <v>249</v>
      </c>
      <c r="B12" s="34" t="n">
        <f aca="false">('AMB-Source Data'!C11+'AMB-Source Data'!C12)/('AMB-Source Data'!C2+'AMB-Source Data'!C3)</f>
        <v>0.13865418067045</v>
      </c>
      <c r="C12" s="34" t="n">
        <f aca="false">('AMB-Source Data'!D11+'AMB-Source Data'!D12)/('AMB-Source Data'!D2+'AMB-Source Data'!D3)</f>
        <v>0.149819280040661</v>
      </c>
    </row>
    <row r="13" customFormat="false" ht="15" hidden="false" customHeight="true" outlineLevel="0" collapsed="false">
      <c r="A13" s="5" t="s">
        <v>250</v>
      </c>
      <c r="B13" s="33" t="n">
        <f aca="false">'AMB-Source Data'!C11/('AMB-Source Data'!C2+'AMB-Source Data'!C3)</f>
        <v>0.116298140874781</v>
      </c>
      <c r="C13" s="33" t="n">
        <f aca="false">'AMB-Source Data'!D11/('AMB-Source Data'!D2+'AMB-Source Data'!D3)</f>
        <v>0.121775142034682</v>
      </c>
    </row>
    <row r="14" customFormat="false" ht="15" hidden="false" customHeight="true" outlineLevel="0" collapsed="false">
      <c r="A14" s="5" t="s">
        <v>251</v>
      </c>
      <c r="B14" s="33" t="n">
        <f aca="false">'AMB-Source Data'!C12/('AMB-Source Data'!C2+'AMB-Source Data'!C3)</f>
        <v>0.0223560397956694</v>
      </c>
      <c r="C14" s="33" t="n">
        <f aca="false">'AMB-Source Data'!D12/('AMB-Source Data'!D2+'AMB-Source Data'!D3)</f>
        <v>0.0280441380059791</v>
      </c>
    </row>
    <row r="16" customFormat="false" ht="15" hidden="false" customHeight="true" outlineLevel="0" collapsed="false">
      <c r="A16" s="22" t="s">
        <v>252</v>
      </c>
      <c r="B16" s="22"/>
      <c r="C16" s="22"/>
    </row>
    <row r="17" customFormat="false" ht="15" hidden="false" customHeight="true" outlineLevel="0" collapsed="false">
      <c r="A17" s="5" t="s">
        <v>173</v>
      </c>
      <c r="B17" s="33" t="n">
        <f aca="false">'AMB-Source Data'!C14/('AMB-Source Data'!C19+'AMB-Source Data'!C20+'AMB-Source Data'!C21+'AMB-Source Data'!C22+'AMB-Source Data'!C23)</f>
        <v>0.464862759562808</v>
      </c>
      <c r="C17" s="33" t="n">
        <f aca="false">'AMB-Source Data'!D14/('AMB-Source Data'!D19+'AMB-Source Data'!D20+'AMB-Source Data'!D21+'AMB-Source Data'!D22+'AMB-Source Data'!D23)</f>
        <v>0.38694758169347</v>
      </c>
    </row>
    <row r="18" customFormat="false" ht="15" hidden="false" customHeight="true" outlineLevel="0" collapsed="false">
      <c r="A18" s="5" t="s">
        <v>174</v>
      </c>
      <c r="B18" s="33" t="n">
        <f aca="false">'AMB-Source Data'!C15/('AMB-Source Data'!C19+'AMB-Source Data'!C20+'AMB-Source Data'!C21+'AMB-Source Data'!C22+'AMB-Source Data'!C23)</f>
        <v>0.0203954853774822</v>
      </c>
      <c r="C18" s="33" t="n">
        <f aca="false">'AMB-Source Data'!D15/('AMB-Source Data'!D19+'AMB-Source Data'!D20+'AMB-Source Data'!D21+'AMB-Source Data'!D22+'AMB-Source Data'!D23)</f>
        <v>0.022626811619389</v>
      </c>
    </row>
    <row r="19" customFormat="false" ht="15" hidden="false" customHeight="true" outlineLevel="0" collapsed="false">
      <c r="A19" s="5" t="s">
        <v>175</v>
      </c>
      <c r="B19" s="33" t="n">
        <f aca="false">'AMB-Source Data'!C16/('AMB-Source Data'!C19+'AMB-Source Data'!C20+'AMB-Source Data'!C21+'AMB-Source Data'!C22+'AMB-Source Data'!C23)</f>
        <v>0.124940570471216</v>
      </c>
      <c r="C19" s="33" t="n">
        <f aca="false">'AMB-Source Data'!D16/('AMB-Source Data'!D19+'AMB-Source Data'!D20+'AMB-Source Data'!D21+'AMB-Source Data'!D22+'AMB-Source Data'!D23)</f>
        <v>0.151276755182119</v>
      </c>
    </row>
    <row r="20" customFormat="false" ht="15" hidden="false" customHeight="true" outlineLevel="0" collapsed="false">
      <c r="A20" s="5" t="s">
        <v>176</v>
      </c>
      <c r="B20" s="33" t="n">
        <f aca="false">'AMB-Source Data'!C17/('AMB-Source Data'!C19+'AMB-Source Data'!C20+'AMB-Source Data'!C21+'AMB-Source Data'!C22+'AMB-Source Data'!C23)</f>
        <v>0.18628958536102</v>
      </c>
      <c r="C20" s="33" t="n">
        <f aca="false">'AMB-Source Data'!D17/('AMB-Source Data'!D19+'AMB-Source Data'!D20+'AMB-Source Data'!D21+'AMB-Source Data'!D22+'AMB-Source Data'!D23)</f>
        <v>0.16903885482468</v>
      </c>
    </row>
    <row r="21" customFormat="false" ht="15" hidden="false" customHeight="true" outlineLevel="0" collapsed="false">
      <c r="A21" s="5" t="s">
        <v>177</v>
      </c>
      <c r="B21" s="33" t="n">
        <f aca="false">'AMB-Source Data'!C18/('AMB-Source Data'!C19+'AMB-Source Data'!C20+'AMB-Source Data'!C21+'AMB-Source Data'!C22+'AMB-Source Data'!C23)</f>
        <v>0.129732340542168</v>
      </c>
      <c r="C21" s="33" t="n">
        <f aca="false">'AMB-Source Data'!D18/('AMB-Source Data'!D19+'AMB-Source Data'!D20+'AMB-Source Data'!D21+'AMB-Source Data'!D22+'AMB-Source Data'!D23)</f>
        <v>0.0820142366818623</v>
      </c>
    </row>
    <row r="22" customFormat="false" ht="15" hidden="false" customHeight="true" outlineLevel="0" collapsed="false">
      <c r="A22" s="5" t="s">
        <v>178</v>
      </c>
      <c r="B22" s="33" t="n">
        <f aca="false">'AMB-Source Data'!C19/('AMB-Source Data'!C19+'AMB-Source Data'!C20+'AMB-Source Data'!C21+'AMB-Source Data'!C22+'AMB-Source Data'!C23)</f>
        <v>0.816195143123909</v>
      </c>
      <c r="C22" s="33" t="n">
        <f aca="false">'AMB-Source Data'!D19/('AMB-Source Data'!D19+'AMB-Source Data'!D20+'AMB-Source Data'!D21+'AMB-Source Data'!D22+'AMB-Source Data'!D23)</f>
        <v>0.82765786177279</v>
      </c>
    </row>
    <row r="23" customFormat="false" ht="15" hidden="false" customHeight="true" outlineLevel="0" collapsed="false">
      <c r="A23" s="5" t="s">
        <v>179</v>
      </c>
      <c r="B23" s="33" t="n">
        <f aca="false">'AMB-Source Data'!C20/('AMB-Source Data'!C19+'AMB-Source Data'!C20+'AMB-Source Data'!C21+'AMB-Source Data'!C22+'AMB-Source Data'!C23)</f>
        <v>0.171895846321187</v>
      </c>
      <c r="C23" s="33" t="n">
        <f aca="false">'AMB-Source Data'!D20/('AMB-Source Data'!D19+'AMB-Source Data'!D20+'AMB-Source Data'!D21+'AMB-Source Data'!D22+'AMB-Source Data'!D23)</f>
        <v>0.160161821341244</v>
      </c>
    </row>
    <row r="24" customFormat="false" ht="15" hidden="false" customHeight="true" outlineLevel="0" collapsed="false">
      <c r="A24" s="5" t="s">
        <v>180</v>
      </c>
      <c r="B24" s="33" t="n">
        <f aca="false">'AMB-Source Data'!C21/('AMB-Source Data'!C19+'AMB-Source Data'!C20+'AMB-Source Data'!C21+'AMB-Source Data'!C22+'AMB-Source Data'!C23)</f>
        <v>0.000615990418110201</v>
      </c>
      <c r="C24" s="33" t="n">
        <f aca="false">'AMB-Source Data'!D21/('AMB-Source Data'!D19+'AMB-Source Data'!D20+'AMB-Source Data'!D21+'AMB-Source Data'!D22+'AMB-Source Data'!D23)</f>
        <v>0.000222288852237232</v>
      </c>
    </row>
    <row r="25" customFormat="false" ht="15" hidden="false" customHeight="true" outlineLevel="0" collapsed="false">
      <c r="A25" s="5" t="s">
        <v>182</v>
      </c>
      <c r="B25" s="33" t="n">
        <f aca="false">'AMB-Source Data'!C23/('AMB-Source Data'!C19+'AMB-Source Data'!C20+'AMB-Source Data'!C21+'AMB-Source Data'!C22+'AMB-Source Data'!C23)</f>
        <v>0.0111831348177341</v>
      </c>
      <c r="C25" s="33" t="n">
        <f aca="false">'AMB-Source Data'!D23/('AMB-Source Data'!D19+'AMB-Source Data'!D20+'AMB-Source Data'!D21+'AMB-Source Data'!D22+'AMB-Source Data'!D23)</f>
        <v>0.0117660161898579</v>
      </c>
    </row>
    <row r="27" customFormat="false" ht="90" hidden="false" customHeight="true" outlineLevel="0" collapsed="false">
      <c r="A27" s="13" t="s">
        <v>253</v>
      </c>
      <c r="B27" s="13"/>
      <c r="C27" s="13"/>
    </row>
  </sheetData>
  <mergeCells count="3">
    <mergeCell ref="A5:C5"/>
    <mergeCell ref="A16:C16"/>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3" min="3" style="1" width="19"/>
  </cols>
  <sheetData>
    <row r="1" customFormat="false" ht="15.75" hidden="false" customHeight="true" outlineLevel="0" collapsed="false">
      <c r="A1" s="25" t="s">
        <v>254</v>
      </c>
    </row>
    <row r="2" customFormat="false" ht="15" hidden="false" customHeight="true" outlineLevel="0" collapsed="false">
      <c r="A2" s="3" t="s">
        <v>255</v>
      </c>
    </row>
    <row r="4" customFormat="false" ht="26.25" hidden="false" customHeight="true" outlineLevel="0" collapsed="false">
      <c r="A4" s="4" t="s">
        <v>256</v>
      </c>
      <c r="B4" s="4" t="s">
        <v>64</v>
      </c>
      <c r="C4" s="4" t="s">
        <v>158</v>
      </c>
    </row>
    <row r="5" customFormat="false" ht="15" hidden="false" customHeight="true" outlineLevel="0" collapsed="false">
      <c r="A5" s="22" t="s">
        <v>257</v>
      </c>
      <c r="B5" s="22"/>
      <c r="C5" s="22"/>
    </row>
    <row r="6" customFormat="false" ht="15" hidden="false" customHeight="true" outlineLevel="0" collapsed="false">
      <c r="A6" s="5" t="s">
        <v>206</v>
      </c>
      <c r="B6" s="33" t="n">
        <f aca="false">('AMB-Source Data'!C8+'AMB-Source Data'!C6+'AMB-Source Data'!C7-'AMB-Source Data'!C4)/('AMB-Source Data'!C2+'AMB-Source Data'!C3)</f>
        <v>0.161330224952577</v>
      </c>
      <c r="C6" s="33" t="n">
        <f aca="false">('AMB-Source Data'!D8+'AMB-Source Data'!D6+'AMB-Source Data'!D7-'AMB-Source Data'!D4)/('AMB-Source Data'!D2+'AMB-Source Data'!D3)</f>
        <v>0.169339922187974</v>
      </c>
    </row>
    <row r="7" customFormat="false" ht="15" hidden="false" customHeight="true" outlineLevel="0" collapsed="false">
      <c r="A7" s="5" t="s">
        <v>258</v>
      </c>
      <c r="B7" s="33" t="n">
        <f aca="false">(('AMB-Source Data'!C8+'AMB-Source Data'!C6+'AMB-Source Data'!C7-'AMB-Source Data'!C4)-'AMB-Source Data'!C7)/('AMB-Source Data'!C2+'AMB-Source Data'!C3)</f>
        <v>0.0735095317554644</v>
      </c>
      <c r="C7" s="33" t="n">
        <f aca="false">(('AMB-Source Data'!D8+'AMB-Source Data'!D6+'AMB-Source Data'!D7-'AMB-Source Data'!D4)-'AMB-Source Data'!D7)/('AMB-Source Data'!D2+'AMB-Source Data'!D3)</f>
        <v>0.104335071671057</v>
      </c>
    </row>
    <row r="8" customFormat="false" ht="15" hidden="false" customHeight="true" outlineLevel="0" collapsed="false">
      <c r="A8" s="5" t="s">
        <v>259</v>
      </c>
      <c r="B8" s="35" t="n">
        <f aca="false">(('AMB-Source Data'!C8+'AMB-Source Data'!C6+'AMB-Source Data'!C7-'AMB-Source Data'!C4)-'AMB-Source Data'!C7)*(1-'AMB-Assumptions'!$B$35)</f>
        <v>2236.4141856</v>
      </c>
      <c r="C8" s="35" t="n">
        <f aca="false">(('AMB-Source Data'!D8+'AMB-Source Data'!D6+'AMB-Source Data'!D7-'AMB-Source Data'!D4)-'AMB-Source Data'!D7)*(1-'AMB-Assumptions'!$B$35)</f>
        <v>2758.9286256</v>
      </c>
    </row>
    <row r="9" customFormat="false" ht="15" hidden="false" customHeight="true" outlineLevel="0" collapsed="false">
      <c r="A9" s="5" t="s">
        <v>260</v>
      </c>
      <c r="B9" s="33" t="n">
        <f aca="false">(('AMB-Source Data'!C8+'AMB-Source Data'!C6+'AMB-Source Data'!C7-'AMB-Source Data'!C4)-'AMB-Source Data'!C7)*(1-'AMB-Assumptions'!$B$35)/('AMB-Source Data'!C14+'AMB-Source Data'!C15+'AMB-Source Data'!C16+'AMB-Source Data'!C17+'AMB-Source Data'!C18)</f>
        <v>0.0332070755626933</v>
      </c>
      <c r="C9" s="33" t="n">
        <f aca="false">(('AMB-Source Data'!D8+'AMB-Source Data'!D6+'AMB-Source Data'!D7-'AMB-Source Data'!D4)-'AMB-Source Data'!D7)*(1-'AMB-Assumptions'!$B$35)/('AMB-Source Data'!D14+'AMB-Source Data'!D15+'AMB-Source Data'!D16+'AMB-Source Data'!D17+'AMB-Source Data'!D18)</f>
        <v>0.0524919305239245</v>
      </c>
    </row>
    <row r="10" customFormat="false" ht="15" hidden="false" customHeight="true" outlineLevel="0" collapsed="false">
      <c r="A10" s="5" t="s">
        <v>261</v>
      </c>
      <c r="B10" s="33" t="n">
        <f aca="false">(('AMB-Source Data'!C8+'AMB-Source Data'!C6+'AMB-Source Data'!C7-'AMB-Source Data'!C4)-'AMB-Source Data'!C7)*(1-'AMB-Assumptions'!$B$35)/('AMB-Source Data'!C14+'AMB-Source Data'!C15+'AMB-Source Data'!C16)</f>
        <v>0.0504050177872419</v>
      </c>
      <c r="C10" s="33" t="n">
        <f aca="false">(('AMB-Source Data'!D8+'AMB-Source Data'!D6+'AMB-Source Data'!D7-'AMB-Source Data'!D4)-'AMB-Source Data'!D7)*(1-'AMB-Assumptions'!$B$35)/('AMB-Source Data'!D14+'AMB-Source Data'!D15+'AMB-Source Data'!D16)</f>
        <v>0.0759888271114437</v>
      </c>
    </row>
    <row r="11" customFormat="false" ht="15" hidden="false" customHeight="true" outlineLevel="0" collapsed="false">
      <c r="A11" s="5" t="s">
        <v>262</v>
      </c>
      <c r="B11" s="33" t="n">
        <f aca="false">'AMB-Source Data'!C11/'AMB-Source Data'!C19</f>
        <v>0.0796696464136881</v>
      </c>
      <c r="C11" s="33" t="n">
        <f aca="false">'AMB-Source Data'!D11/'AMB-Source Data'!D19</f>
        <v>0.0803133023211368</v>
      </c>
    </row>
    <row r="12" customFormat="false" ht="15" hidden="false" customHeight="true" outlineLevel="0" collapsed="false">
      <c r="A12" s="5" t="s">
        <v>263</v>
      </c>
      <c r="B12" s="33" t="n">
        <f aca="false">('AMB-Source Data'!C10-('AMB-Source Data'!C11+'AMB-Source Data'!C12))/'AMB-Source Data'!C10</f>
        <v>-0.708842992994359</v>
      </c>
      <c r="C12" s="33" t="n">
        <f aca="false">('AMB-Source Data'!D10-('AMB-Source Data'!D11+'AMB-Source Data'!D12))/'AMB-Source Data'!D10</f>
        <v>0.132639870766277</v>
      </c>
    </row>
    <row r="14" customFormat="false" ht="15" hidden="false" customHeight="true" outlineLevel="0" collapsed="false">
      <c r="A14" s="22" t="s">
        <v>264</v>
      </c>
      <c r="B14" s="22"/>
      <c r="C14" s="22"/>
    </row>
    <row r="15" customFormat="false" ht="15" hidden="false" customHeight="true" outlineLevel="0" collapsed="false">
      <c r="A15" s="5" t="s">
        <v>265</v>
      </c>
      <c r="B15" s="36" t="n">
        <f aca="false">'AMB-Source Data'!C13</f>
        <v>74</v>
      </c>
    </row>
    <row r="16" customFormat="false" ht="15" hidden="false" customHeight="true" outlineLevel="0" collapsed="false">
      <c r="A16" s="5" t="s">
        <v>266</v>
      </c>
      <c r="B16" s="35" t="n">
        <f aca="false">('AMB-Source Data'!C2+'AMB-Source Data'!C3)*10/'AMB-Source Data'!C13</f>
        <v>5494.01081081081</v>
      </c>
    </row>
    <row r="17" customFormat="false" ht="15" hidden="false" customHeight="true" outlineLevel="0" collapsed="false">
      <c r="A17" s="5" t="s">
        <v>267</v>
      </c>
      <c r="B17" s="35" t="n">
        <f aca="false">('AMB-Source Data'!C8+'AMB-Source Data'!C6+'AMB-Source Data'!C7-'AMB-Source Data'!C4)*10/'AMB-Source Data'!C13</f>
        <v>886.35</v>
      </c>
    </row>
    <row r="18" customFormat="false" ht="15" hidden="false" customHeight="true" outlineLevel="0" collapsed="false">
      <c r="A18" s="5" t="s">
        <v>268</v>
      </c>
      <c r="B18" s="33" t="n">
        <f aca="false">'AMB-Source Data'!C13/'AMB-Assumptions'!$B$6</f>
        <v>0.678899082568807</v>
      </c>
    </row>
    <row r="20" customFormat="false" ht="15" hidden="false" customHeight="true" outlineLevel="0" collapsed="false">
      <c r="A20" s="22" t="s">
        <v>269</v>
      </c>
      <c r="B20" s="22"/>
      <c r="C20" s="22"/>
    </row>
    <row r="21" customFormat="false" ht="15" hidden="false" customHeight="true" outlineLevel="0" collapsed="false">
      <c r="A21" s="5" t="s">
        <v>270</v>
      </c>
      <c r="B21" s="33" t="n">
        <f aca="false">('AMB-Source Data'!C17+'AMB-Source Data'!C18)/('AMB-Source Data'!C14+'AMB-Source Data'!C15+'AMB-Source Data'!C16+'AMB-Source Data'!C17+'AMB-Source Data'!C18)</f>
        <v>0.341195043262172</v>
      </c>
      <c r="C21" s="33" t="n">
        <f aca="false">('AMB-Source Data'!D17+'AMB-Source Data'!D18)/('AMB-Source Data'!D14+'AMB-Source Data'!D15+'AMB-Source Data'!D16+'AMB-Source Data'!D17+'AMB-Source Data'!D18)</f>
        <v>0.309215150183317</v>
      </c>
    </row>
    <row r="22" customFormat="false" ht="15" hidden="false" customHeight="true" outlineLevel="0" collapsed="false">
      <c r="A22" s="5" t="s">
        <v>271</v>
      </c>
      <c r="B22" s="33" t="n">
        <f aca="false">'AMB-Source Data'!C16/('AMB-Source Data'!C14+'AMB-Source Data'!C15+'AMB-Source Data'!C16)</f>
        <v>0.204753872534082</v>
      </c>
      <c r="C22" s="33" t="n">
        <f aca="false">'AMB-Source Data'!D16/('AMB-Source Data'!D14+'AMB-Source Data'!D15+'AMB-Source Data'!D16)</f>
        <v>0.269727102437186</v>
      </c>
    </row>
    <row r="23" customFormat="false" ht="15" hidden="false" customHeight="true" outlineLevel="0" collapsed="false">
      <c r="A23" s="5" t="s">
        <v>272</v>
      </c>
      <c r="B23" s="37" t="n">
        <f aca="false">('AMB-Source Data'!C2+'AMB-Source Data'!C3)/('AMB-Source Data'!C14+'AMB-Source Data'!C15+'AMB-Source Data'!C16)</f>
        <v>0.916310711471644</v>
      </c>
      <c r="C23" s="37" t="n">
        <f aca="false">('AMB-Source Data'!D2+'AMB-Source Data'!D3)/('AMB-Source Data'!D14+'AMB-Source Data'!D15+'AMB-Source Data'!D16)</f>
        <v>0.973267160657316</v>
      </c>
    </row>
    <row r="25" customFormat="false" ht="15" hidden="false" customHeight="true" outlineLevel="0" collapsed="false">
      <c r="A25" s="22" t="s">
        <v>273</v>
      </c>
      <c r="B25" s="22"/>
      <c r="C25" s="22"/>
    </row>
    <row r="26" customFormat="false" ht="15" hidden="false" customHeight="true" outlineLevel="0" collapsed="false">
      <c r="A26" s="5" t="s">
        <v>274</v>
      </c>
      <c r="B26" s="37" t="n">
        <f aca="false">('AMB-Source Data'!C21+'AMB-Source Data'!C22+'AMB-Source Data'!C23)/'AMB-Source Data'!C19</f>
        <v>0.0145908863281442</v>
      </c>
      <c r="C26" s="37" t="n">
        <f aca="false">('AMB-Source Data'!D21+'AMB-Source Data'!D22+'AMB-Source Data'!D23)/'AMB-Source Data'!D19</f>
        <v>0.0147166086961066</v>
      </c>
    </row>
    <row r="27" customFormat="false" ht="15" hidden="false" customHeight="true" outlineLevel="0" collapsed="false">
      <c r="A27" s="5" t="s">
        <v>275</v>
      </c>
      <c r="B27" s="37" t="n">
        <f aca="false">('AMB-Source Data'!C21+'AMB-Source Data'!C22+'AMB-Source Data'!C23-'AMB-Source Data'!C24-'AMB-Source Data'!C25-'AMB-Source Data'!C26)/('AMB-Source Data'!C8+'AMB-Source Data'!C6+'AMB-Source Data'!C7-'AMB-Source Data'!C4)</f>
        <v>-0.014128699693093</v>
      </c>
      <c r="C27" s="37" t="n">
        <f aca="false">('AMB-Source Data'!D21+'AMB-Source Data'!D22+'AMB-Source Data'!D23-'AMB-Source Data'!D24-'AMB-Source Data'!D25-'AMB-Source Data'!D26)/('AMB-Source Data'!D8+'AMB-Source Data'!D6+'AMB-Source Data'!D7-'AMB-Source Data'!D4)</f>
        <v>-1.20420731065347</v>
      </c>
    </row>
    <row r="28" customFormat="false" ht="15" hidden="false" customHeight="true" outlineLevel="0" collapsed="false">
      <c r="A28" s="5" t="s">
        <v>276</v>
      </c>
      <c r="B28" s="37" t="n">
        <f aca="false">(('AMB-Source Data'!C8+'AMB-Source Data'!C6+'AMB-Source Data'!C7-'AMB-Source Data'!C4)-'AMB-Source Data'!C7)/'AMB-Source Data'!C6</f>
        <v>13.3651446715263</v>
      </c>
      <c r="C28" s="37" t="n">
        <f aca="false">(('AMB-Source Data'!D8+'AMB-Source Data'!D6+'AMB-Source Data'!D7-'AMB-Source Data'!D4)-'AMB-Source Data'!D7)/'AMB-Source Data'!D6</f>
        <v>17.0734000185237</v>
      </c>
    </row>
    <row r="29" customFormat="false" ht="15" hidden="false" customHeight="true" outlineLevel="0" collapsed="false">
      <c r="A29" s="5" t="s">
        <v>277</v>
      </c>
      <c r="B29" s="33" t="n">
        <f aca="false">'AMB-Source Data'!C12/('AMB-Source Data'!C11+'AMB-Source Data'!C12)</f>
        <v>0.161235959042625</v>
      </c>
      <c r="C29" s="33" t="n">
        <f aca="false">'AMB-Source Data'!D12/('AMB-Source Data'!D11+'AMB-Source Data'!D12)</f>
        <v>0.1871864422147</v>
      </c>
    </row>
    <row r="31" customFormat="false" ht="75" hidden="false" customHeight="true" outlineLevel="0" collapsed="false">
      <c r="A31" s="13" t="s">
        <v>278</v>
      </c>
      <c r="B31" s="13"/>
      <c r="C31" s="13"/>
    </row>
  </sheetData>
  <mergeCells count="5">
    <mergeCell ref="A5:C5"/>
    <mergeCell ref="A14:C14"/>
    <mergeCell ref="A20:C20"/>
    <mergeCell ref="A25:C25"/>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1"/>
    <col collapsed="false" customWidth="true" hidden="false" outlineLevel="0" max="12" min="3" style="1" width="10"/>
    <col collapsed="false" customWidth="true" hidden="false" outlineLevel="0" max="13" min="13" style="1" width="46"/>
  </cols>
  <sheetData>
    <row r="1" customFormat="false" ht="15.75" hidden="false" customHeight="true" outlineLevel="0" collapsed="false">
      <c r="A1" s="25" t="s">
        <v>9</v>
      </c>
    </row>
    <row r="3" customFormat="false" ht="45" hidden="false" customHeight="true" outlineLevel="0" collapsed="false">
      <c r="A3" s="6" t="s">
        <v>279</v>
      </c>
      <c r="B3" s="38" t="n">
        <v>-139.4</v>
      </c>
      <c r="M3" s="39" t="s">
        <v>280</v>
      </c>
    </row>
    <row r="4" customFormat="false" ht="15" hidden="false" customHeight="true" outlineLevel="0" collapsed="false">
      <c r="A4" s="8" t="s">
        <v>281</v>
      </c>
      <c r="B4" s="8"/>
      <c r="C4" s="8"/>
      <c r="D4" s="8"/>
      <c r="E4" s="8"/>
      <c r="F4" s="8"/>
      <c r="G4" s="8"/>
      <c r="H4" s="8"/>
      <c r="I4" s="8"/>
      <c r="J4" s="8"/>
      <c r="K4" s="8"/>
      <c r="L4" s="8"/>
      <c r="M4" s="8"/>
    </row>
    <row r="5" customFormat="false" ht="15" hidden="false" customHeight="true" outlineLevel="0" collapsed="false">
      <c r="A5" s="6" t="s">
        <v>282</v>
      </c>
      <c r="B5" s="40" t="n">
        <v>74</v>
      </c>
      <c r="M5" s="39" t="s">
        <v>283</v>
      </c>
    </row>
    <row r="6" customFormat="false" ht="15" hidden="false" customHeight="true" outlineLevel="0" collapsed="false">
      <c r="A6" s="6" t="s">
        <v>284</v>
      </c>
      <c r="B6" s="40" t="n">
        <v>109</v>
      </c>
      <c r="M6" s="39" t="s">
        <v>285</v>
      </c>
    </row>
    <row r="7" customFormat="false" ht="15" hidden="false" customHeight="true" outlineLevel="0" collapsed="false">
      <c r="A7" s="6" t="s">
        <v>286</v>
      </c>
      <c r="B7" s="24" t="n">
        <f aca="false">B5/B6</f>
        <v>0.678899082568807</v>
      </c>
      <c r="M7" s="3" t="s">
        <v>287</v>
      </c>
    </row>
    <row r="8" customFormat="false" ht="15" hidden="false" customHeight="true" outlineLevel="0" collapsed="false">
      <c r="A8" s="6" t="s">
        <v>267</v>
      </c>
      <c r="B8" s="41" t="n">
        <v>886.35</v>
      </c>
      <c r="M8" s="39" t="s">
        <v>288</v>
      </c>
    </row>
    <row r="9" customFormat="false" ht="15" hidden="false" customHeight="true" outlineLevel="0" collapsed="false">
      <c r="A9" s="6" t="s">
        <v>266</v>
      </c>
      <c r="B9" s="41" t="n">
        <v>5494.01</v>
      </c>
      <c r="M9" s="39" t="s">
        <v>289</v>
      </c>
    </row>
    <row r="10" customFormat="false" ht="30" hidden="false" customHeight="true" outlineLevel="0" collapsed="false">
      <c r="A10" s="6" t="s">
        <v>290</v>
      </c>
      <c r="B10" s="38" t="n">
        <v>44368.88</v>
      </c>
      <c r="M10" s="39" t="s">
        <v>291</v>
      </c>
    </row>
    <row r="11" customFormat="false" ht="30" hidden="false" customHeight="true" outlineLevel="0" collapsed="false">
      <c r="A11" s="6" t="s">
        <v>194</v>
      </c>
      <c r="B11" s="38" t="n">
        <v>22978.64</v>
      </c>
      <c r="M11" s="39" t="s">
        <v>292</v>
      </c>
    </row>
    <row r="13" customFormat="false" ht="15" hidden="false" customHeight="true" outlineLevel="0" collapsed="false">
      <c r="A13" s="8" t="s">
        <v>293</v>
      </c>
      <c r="B13" s="8"/>
      <c r="C13" s="8"/>
      <c r="D13" s="8"/>
      <c r="E13" s="8"/>
      <c r="F13" s="8"/>
      <c r="G13" s="8"/>
      <c r="H13" s="8"/>
      <c r="I13" s="8"/>
      <c r="J13" s="8"/>
      <c r="K13" s="8"/>
      <c r="L13" s="8"/>
      <c r="M13" s="8"/>
    </row>
    <row r="14" customFormat="false" ht="15" hidden="false" customHeight="true" outlineLevel="0" collapsed="false">
      <c r="A14" s="6" t="s">
        <v>294</v>
      </c>
      <c r="B14" s="38" t="n">
        <v>99095</v>
      </c>
      <c r="M14" s="39" t="s">
        <v>295</v>
      </c>
    </row>
    <row r="15" customFormat="false" ht="15" hidden="false" customHeight="true" outlineLevel="0" collapsed="false">
      <c r="A15" s="6" t="s">
        <v>296</v>
      </c>
      <c r="B15" s="40" t="n">
        <v>247.18</v>
      </c>
      <c r="M15" s="39" t="s">
        <v>297</v>
      </c>
    </row>
    <row r="16" customFormat="false" ht="30" hidden="false" customHeight="true" outlineLevel="0" collapsed="false">
      <c r="A16" s="6" t="s">
        <v>298</v>
      </c>
      <c r="B16" s="38" t="n">
        <v>865.93</v>
      </c>
      <c r="M16" s="39" t="s">
        <v>299</v>
      </c>
    </row>
    <row r="17" customFormat="false" ht="15" hidden="false" customHeight="true" outlineLevel="0" collapsed="false">
      <c r="A17" s="6" t="s">
        <v>300</v>
      </c>
      <c r="B17" s="38" t="n">
        <v>958.6</v>
      </c>
      <c r="M17" s="39" t="s">
        <v>301</v>
      </c>
    </row>
    <row r="18" customFormat="false" ht="45" hidden="false" customHeight="true" outlineLevel="0" collapsed="false">
      <c r="A18" s="6" t="s">
        <v>179</v>
      </c>
      <c r="B18" s="38" t="n">
        <v>12498.92</v>
      </c>
      <c r="M18" s="39" t="s">
        <v>302</v>
      </c>
    </row>
    <row r="20" customFormat="false" ht="15" hidden="false" customHeight="true" outlineLevel="0" collapsed="false">
      <c r="A20" s="8" t="s">
        <v>303</v>
      </c>
      <c r="B20" s="8"/>
      <c r="C20" s="8"/>
      <c r="D20" s="8"/>
      <c r="E20" s="8"/>
      <c r="F20" s="8"/>
      <c r="G20" s="8"/>
      <c r="H20" s="8"/>
      <c r="I20" s="8"/>
      <c r="J20" s="8"/>
      <c r="K20" s="8"/>
      <c r="L20" s="8"/>
      <c r="M20" s="8"/>
    </row>
    <row r="21" customFormat="false" ht="165" hidden="false" customHeight="true" outlineLevel="0" collapsed="false">
      <c r="A21" s="6" t="s">
        <v>232</v>
      </c>
      <c r="B21" s="38" t="n">
        <v>0</v>
      </c>
      <c r="M21" s="39" t="s">
        <v>304</v>
      </c>
    </row>
    <row r="22" customFormat="false" ht="180" hidden="false" customHeight="true" outlineLevel="0" collapsed="false">
      <c r="A22" s="6" t="s">
        <v>305</v>
      </c>
      <c r="B22" s="38" t="n">
        <v>614.1</v>
      </c>
      <c r="M22" s="39" t="s">
        <v>306</v>
      </c>
    </row>
    <row r="23" customFormat="false" ht="165" hidden="false" customHeight="true" outlineLevel="0" collapsed="false">
      <c r="A23" s="6" t="s">
        <v>307</v>
      </c>
      <c r="B23" s="38" t="n">
        <v>3466.33</v>
      </c>
      <c r="M23" s="39" t="s">
        <v>308</v>
      </c>
    </row>
    <row r="24" customFormat="false" ht="285" hidden="false" customHeight="true" outlineLevel="0" collapsed="false">
      <c r="A24" s="6" t="s">
        <v>309</v>
      </c>
      <c r="B24" s="38" t="n">
        <v>345.78</v>
      </c>
      <c r="M24" s="39" t="s">
        <v>310</v>
      </c>
    </row>
    <row r="26" customFormat="false" ht="15" hidden="false" customHeight="true" outlineLevel="0" collapsed="false">
      <c r="A26" s="8" t="s">
        <v>311</v>
      </c>
      <c r="B26" s="8"/>
      <c r="C26" s="8"/>
      <c r="D26" s="8"/>
      <c r="E26" s="8"/>
      <c r="F26" s="8"/>
      <c r="G26" s="8"/>
      <c r="H26" s="8"/>
      <c r="I26" s="8"/>
      <c r="J26" s="8"/>
      <c r="K26" s="8"/>
      <c r="L26" s="8"/>
      <c r="M26" s="8"/>
    </row>
    <row r="27" customFormat="false" ht="135" hidden="false" customHeight="true" outlineLevel="0" collapsed="false">
      <c r="A27" s="6" t="s">
        <v>312</v>
      </c>
      <c r="B27" s="42" t="n">
        <v>0.0685</v>
      </c>
      <c r="M27" s="39" t="s">
        <v>313</v>
      </c>
    </row>
    <row r="28" customFormat="false" ht="15" hidden="false" customHeight="true" outlineLevel="0" collapsed="false">
      <c r="A28" s="6" t="s">
        <v>314</v>
      </c>
      <c r="B28" s="42" t="n">
        <v>0.0187</v>
      </c>
      <c r="M28" s="39" t="s">
        <v>315</v>
      </c>
    </row>
    <row r="29" customFormat="false" ht="15" hidden="false" customHeight="true" outlineLevel="0" collapsed="false">
      <c r="A29" s="6" t="s">
        <v>316</v>
      </c>
      <c r="B29" s="43" t="n">
        <f aca="false">B27-B28</f>
        <v>0.0498</v>
      </c>
    </row>
    <row r="30" customFormat="false" ht="15" hidden="false" customHeight="true" outlineLevel="0" collapsed="false">
      <c r="A30" s="6" t="s">
        <v>317</v>
      </c>
      <c r="B30" s="42" t="n">
        <v>0.0708</v>
      </c>
      <c r="M30" s="39" t="s">
        <v>315</v>
      </c>
    </row>
    <row r="31" customFormat="false" ht="15" hidden="false" customHeight="true" outlineLevel="0" collapsed="false">
      <c r="A31" s="6" t="s">
        <v>318</v>
      </c>
      <c r="B31" s="44" t="n">
        <v>0.9</v>
      </c>
      <c r="M31" s="39" t="s">
        <v>319</v>
      </c>
    </row>
    <row r="32" customFormat="false" ht="15" hidden="false" customHeight="true" outlineLevel="0" collapsed="false">
      <c r="A32" s="6" t="s">
        <v>320</v>
      </c>
      <c r="B32" s="42" t="n">
        <v>0.008738</v>
      </c>
      <c r="M32" s="39" t="s">
        <v>321</v>
      </c>
    </row>
    <row r="33" customFormat="false" ht="15" hidden="false" customHeight="true" outlineLevel="0" collapsed="false">
      <c r="A33" s="6" t="s">
        <v>322</v>
      </c>
      <c r="B33" s="45" t="n">
        <f aca="false">B31*(1+(1-B$3*0+0.25168)*B32)</f>
        <v>0.909843461856</v>
      </c>
    </row>
    <row r="34" customFormat="false" ht="15" hidden="false" customHeight="true" outlineLevel="0" collapsed="false">
      <c r="A34" s="6" t="s">
        <v>323</v>
      </c>
      <c r="B34" s="42" t="n">
        <v>0.08</v>
      </c>
      <c r="M34" s="39" t="s">
        <v>324</v>
      </c>
    </row>
    <row r="35" customFormat="false" ht="30" hidden="false" customHeight="true" outlineLevel="0" collapsed="false">
      <c r="A35" s="6" t="s">
        <v>325</v>
      </c>
      <c r="B35" s="42" t="n">
        <v>0.25168</v>
      </c>
      <c r="M35" s="39" t="s">
        <v>326</v>
      </c>
    </row>
    <row r="37" customFormat="false" ht="15" hidden="false" customHeight="true" outlineLevel="0" collapsed="false">
      <c r="A37" s="8" t="s">
        <v>327</v>
      </c>
      <c r="B37" s="8"/>
      <c r="C37" s="8"/>
      <c r="D37" s="8"/>
      <c r="E37" s="8"/>
      <c r="F37" s="8"/>
      <c r="G37" s="8"/>
      <c r="H37" s="8"/>
      <c r="I37" s="8"/>
      <c r="J37" s="8"/>
      <c r="K37" s="8"/>
      <c r="L37" s="8"/>
      <c r="M37" s="8"/>
    </row>
    <row r="38" customFormat="false" ht="15" hidden="false" customHeight="true" outlineLevel="0" collapsed="false">
      <c r="A38" s="6" t="s">
        <v>328</v>
      </c>
      <c r="B38" s="42" t="n">
        <v>0.065</v>
      </c>
      <c r="M38" s="39" t="s">
        <v>329</v>
      </c>
    </row>
    <row r="39" customFormat="false" ht="15" hidden="false" customHeight="true" outlineLevel="0" collapsed="false">
      <c r="A39" s="6" t="s">
        <v>330</v>
      </c>
      <c r="B39" s="42" t="n">
        <v>0.04</v>
      </c>
      <c r="M39" s="39" t="s">
        <v>331</v>
      </c>
    </row>
    <row r="40" customFormat="false" ht="15" hidden="false" customHeight="true" outlineLevel="0" collapsed="false">
      <c r="A40" s="6" t="s">
        <v>332</v>
      </c>
      <c r="B40" s="43" t="n">
        <f aca="false">(1+B38)*(1+B39)-1</f>
        <v>0.1076</v>
      </c>
    </row>
    <row r="41" customFormat="false" ht="165" hidden="false" customHeight="true" outlineLevel="0" collapsed="false">
      <c r="A41" s="6" t="s">
        <v>333</v>
      </c>
      <c r="B41" s="42" t="n">
        <v>0.65</v>
      </c>
      <c r="M41" s="39" t="s">
        <v>334</v>
      </c>
    </row>
    <row r="42" customFormat="false" ht="15" hidden="false" customHeight="true" outlineLevel="0" collapsed="false">
      <c r="A42" s="6" t="s">
        <v>335</v>
      </c>
      <c r="B42" s="43" t="n">
        <f aca="false">B40*B41</f>
        <v>0.06994</v>
      </c>
    </row>
    <row r="44" customFormat="false" ht="15" hidden="false" customHeight="true" outlineLevel="0" collapsed="false">
      <c r="A44" s="8" t="s">
        <v>336</v>
      </c>
      <c r="B44" s="8"/>
      <c r="C44" s="8"/>
      <c r="D44" s="8"/>
      <c r="E44" s="8"/>
      <c r="F44" s="8"/>
      <c r="G44" s="8"/>
      <c r="H44" s="8"/>
      <c r="I44" s="8"/>
      <c r="J44" s="8"/>
      <c r="K44" s="8"/>
      <c r="L44" s="8"/>
      <c r="M44" s="8"/>
    </row>
    <row r="45" customFormat="false" ht="15" hidden="false" customHeight="true" outlineLevel="0" collapsed="false">
      <c r="A45" s="4" t="s">
        <v>337</v>
      </c>
      <c r="B45" s="4"/>
      <c r="C45" s="4" t="s">
        <v>338</v>
      </c>
      <c r="D45" s="4" t="s">
        <v>339</v>
      </c>
      <c r="E45" s="4" t="s">
        <v>340</v>
      </c>
      <c r="F45" s="4" t="s">
        <v>341</v>
      </c>
      <c r="G45" s="4" t="s">
        <v>342</v>
      </c>
      <c r="H45" s="4" t="s">
        <v>343</v>
      </c>
      <c r="I45" s="4" t="s">
        <v>344</v>
      </c>
      <c r="J45" s="4" t="s">
        <v>345</v>
      </c>
      <c r="K45" s="4" t="s">
        <v>346</v>
      </c>
      <c r="L45" s="4" t="s">
        <v>347</v>
      </c>
      <c r="M45" s="4"/>
    </row>
    <row r="46" customFormat="false" ht="30" hidden="false" customHeight="true" outlineLevel="0" collapsed="false">
      <c r="A46" s="6" t="s">
        <v>284</v>
      </c>
      <c r="C46" s="46" t="n">
        <v>112</v>
      </c>
      <c r="D46" s="46" t="n">
        <v>116</v>
      </c>
      <c r="E46" s="46" t="n">
        <v>119</v>
      </c>
      <c r="F46" s="46" t="n">
        <v>121</v>
      </c>
      <c r="G46" s="46" t="n">
        <v>123</v>
      </c>
      <c r="H46" s="46" t="n">
        <v>125</v>
      </c>
      <c r="I46" s="46" t="n">
        <v>127</v>
      </c>
      <c r="J46" s="46" t="n">
        <v>129</v>
      </c>
      <c r="K46" s="46" t="n">
        <v>131</v>
      </c>
      <c r="L46" s="46" t="n">
        <v>133</v>
      </c>
      <c r="M46" s="39" t="s">
        <v>348</v>
      </c>
    </row>
    <row r="47" customFormat="false" ht="45" hidden="false" customHeight="true" outlineLevel="0" collapsed="false">
      <c r="A47" s="6" t="s">
        <v>268</v>
      </c>
      <c r="C47" s="47" t="n">
        <v>0.7</v>
      </c>
      <c r="D47" s="47" t="n">
        <v>0.725</v>
      </c>
      <c r="E47" s="47" t="n">
        <v>0.75</v>
      </c>
      <c r="F47" s="47" t="n">
        <v>0.775</v>
      </c>
      <c r="G47" s="47" t="n">
        <v>0.795</v>
      </c>
      <c r="H47" s="47" t="n">
        <v>0.81</v>
      </c>
      <c r="I47" s="47" t="n">
        <v>0.825</v>
      </c>
      <c r="J47" s="47" t="n">
        <v>0.835</v>
      </c>
      <c r="K47" s="47" t="n">
        <v>0.845</v>
      </c>
      <c r="L47" s="47" t="n">
        <v>0.85</v>
      </c>
      <c r="M47" s="39" t="s">
        <v>349</v>
      </c>
    </row>
    <row r="48" customFormat="false" ht="90" hidden="false" customHeight="true" outlineLevel="0" collapsed="false">
      <c r="A48" s="6" t="s">
        <v>350</v>
      </c>
      <c r="C48" s="47" t="n">
        <v>0.048</v>
      </c>
      <c r="D48" s="47" t="n">
        <v>0.04</v>
      </c>
      <c r="E48" s="47" t="n">
        <v>0.032</v>
      </c>
      <c r="F48" s="47" t="n">
        <v>0.024</v>
      </c>
      <c r="G48" s="47" t="n">
        <v>0.02</v>
      </c>
      <c r="H48" s="47" t="n">
        <v>0.016</v>
      </c>
      <c r="I48" s="47" t="n">
        <v>0.014</v>
      </c>
      <c r="J48" s="47" t="n">
        <v>0.012</v>
      </c>
      <c r="K48" s="47" t="n">
        <v>0.012</v>
      </c>
      <c r="L48" s="47" t="n">
        <v>0.012</v>
      </c>
      <c r="M48" s="39" t="s">
        <v>351</v>
      </c>
    </row>
    <row r="49" customFormat="false" ht="60" hidden="false" customHeight="true" outlineLevel="0" collapsed="false">
      <c r="A49" s="6" t="s">
        <v>352</v>
      </c>
      <c r="C49" s="47" t="n">
        <v>0.615</v>
      </c>
      <c r="D49" s="47" t="n">
        <v>0.613</v>
      </c>
      <c r="E49" s="47" t="n">
        <v>0.611</v>
      </c>
      <c r="F49" s="47" t="n">
        <v>0.609</v>
      </c>
      <c r="G49" s="47" t="n">
        <v>0.607</v>
      </c>
      <c r="H49" s="47" t="n">
        <v>0.605</v>
      </c>
      <c r="I49" s="47" t="n">
        <v>0.604</v>
      </c>
      <c r="J49" s="47" t="n">
        <v>0.603</v>
      </c>
      <c r="K49" s="47" t="n">
        <v>0.602</v>
      </c>
      <c r="L49" s="47" t="n">
        <v>0.6</v>
      </c>
      <c r="M49" s="39" t="s">
        <v>353</v>
      </c>
    </row>
    <row r="50" customFormat="false" ht="90" hidden="false" customHeight="true" outlineLevel="0" collapsed="false">
      <c r="A50" s="6" t="s">
        <v>354</v>
      </c>
      <c r="C50" s="47" t="n">
        <v>0.13</v>
      </c>
      <c r="D50" s="47" t="n">
        <v>0.142</v>
      </c>
      <c r="E50" s="47" t="n">
        <v>0.152</v>
      </c>
      <c r="F50" s="47" t="n">
        <v>0.16</v>
      </c>
      <c r="G50" s="47" t="n">
        <v>0.167</v>
      </c>
      <c r="H50" s="47" t="n">
        <v>0.173</v>
      </c>
      <c r="I50" s="47" t="n">
        <v>0.178</v>
      </c>
      <c r="J50" s="47" t="n">
        <v>0.183</v>
      </c>
      <c r="K50" s="47" t="n">
        <v>0.187</v>
      </c>
      <c r="L50" s="47" t="n">
        <v>0.19</v>
      </c>
      <c r="M50" s="39" t="s">
        <v>355</v>
      </c>
    </row>
    <row r="51" customFormat="false" ht="45" hidden="false" customHeight="true" outlineLevel="0" collapsed="false">
      <c r="A51" s="6" t="s">
        <v>356</v>
      </c>
      <c r="C51" s="47" t="n">
        <v>0.236</v>
      </c>
      <c r="D51" s="47" t="n">
        <v>0.24</v>
      </c>
      <c r="E51" s="47" t="n">
        <v>0.244</v>
      </c>
      <c r="F51" s="47" t="n">
        <v>0.247</v>
      </c>
      <c r="G51" s="47" t="n">
        <v>0.25</v>
      </c>
      <c r="H51" s="47" t="n">
        <v>0.252</v>
      </c>
      <c r="I51" s="47" t="n">
        <v>0.254</v>
      </c>
      <c r="J51" s="47" t="n">
        <v>0.256</v>
      </c>
      <c r="K51" s="47" t="n">
        <v>0.258</v>
      </c>
      <c r="L51" s="47" t="n">
        <v>0.26</v>
      </c>
      <c r="M51" s="39" t="s">
        <v>357</v>
      </c>
    </row>
    <row r="52" customFormat="false" ht="30" hidden="false" customHeight="true" outlineLevel="0" collapsed="false">
      <c r="A52" s="6" t="s">
        <v>358</v>
      </c>
      <c r="C52" s="38" t="n">
        <v>9500</v>
      </c>
      <c r="D52" s="38" t="n">
        <v>9000</v>
      </c>
      <c r="E52" s="38" t="n">
        <v>8500</v>
      </c>
      <c r="F52" s="38" t="n">
        <v>8000</v>
      </c>
      <c r="G52" s="38" t="n">
        <v>7500</v>
      </c>
      <c r="H52" s="38" t="n">
        <v>7500</v>
      </c>
      <c r="I52" s="38" t="n">
        <v>7500</v>
      </c>
      <c r="J52" s="38" t="n">
        <v>7500</v>
      </c>
      <c r="K52" s="38" t="n">
        <v>7500</v>
      </c>
      <c r="L52" s="38" t="n">
        <v>7500</v>
      </c>
      <c r="M52" s="39" t="s">
        <v>359</v>
      </c>
    </row>
    <row r="53" customFormat="false" ht="45" hidden="false" customHeight="true" outlineLevel="0" collapsed="false">
      <c r="A53" s="6" t="s">
        <v>360</v>
      </c>
      <c r="C53" s="47" t="n">
        <v>0.08</v>
      </c>
      <c r="D53" s="47" t="n">
        <v>0.08</v>
      </c>
      <c r="E53" s="47" t="n">
        <v>0.08</v>
      </c>
      <c r="F53" s="47" t="n">
        <v>0.08</v>
      </c>
      <c r="G53" s="47" t="n">
        <v>0.08</v>
      </c>
      <c r="H53" s="47" t="n">
        <v>0.08</v>
      </c>
      <c r="I53" s="47" t="n">
        <v>0.08</v>
      </c>
      <c r="J53" s="47" t="n">
        <v>0.08</v>
      </c>
      <c r="K53" s="47" t="n">
        <v>0.08</v>
      </c>
      <c r="L53" s="47" t="n">
        <v>0.08</v>
      </c>
      <c r="M53" s="39" t="s">
        <v>361</v>
      </c>
    </row>
    <row r="54" customFormat="false" ht="15" hidden="false" customHeight="true" outlineLevel="0" collapsed="false">
      <c r="A54" s="6" t="s">
        <v>362</v>
      </c>
      <c r="C54" s="47" t="n">
        <v>-0.0034</v>
      </c>
      <c r="D54" s="47" t="n">
        <v>-0.0034</v>
      </c>
      <c r="E54" s="47" t="n">
        <v>-0.0034</v>
      </c>
      <c r="F54" s="47" t="n">
        <v>-0.0034</v>
      </c>
      <c r="G54" s="47" t="n">
        <v>-0.0034</v>
      </c>
      <c r="H54" s="47" t="n">
        <v>-0.0034</v>
      </c>
      <c r="I54" s="47" t="n">
        <v>-0.0034</v>
      </c>
      <c r="J54" s="47" t="n">
        <v>-0.0034</v>
      </c>
      <c r="K54" s="47" t="n">
        <v>-0.0034</v>
      </c>
      <c r="L54" s="47" t="n">
        <v>-0.0034</v>
      </c>
      <c r="M54" s="39" t="s">
        <v>363</v>
      </c>
    </row>
    <row r="56" customFormat="false" ht="45" hidden="false" customHeight="true" outlineLevel="0" collapsed="false">
      <c r="A56" s="13" t="s">
        <v>364</v>
      </c>
      <c r="B56" s="13"/>
      <c r="C56" s="13"/>
      <c r="D56" s="13"/>
      <c r="E56" s="13"/>
      <c r="F56" s="13"/>
      <c r="G56" s="13"/>
      <c r="H56" s="13"/>
      <c r="I56" s="13"/>
      <c r="J56" s="13"/>
      <c r="K56" s="13"/>
      <c r="L56" s="13"/>
      <c r="M56" s="13"/>
    </row>
  </sheetData>
  <mergeCells count="7">
    <mergeCell ref="A4:M4"/>
    <mergeCell ref="A13:M13"/>
    <mergeCell ref="A20:M20"/>
    <mergeCell ref="A26:M26"/>
    <mergeCell ref="A37:M37"/>
    <mergeCell ref="A44:M44"/>
    <mergeCell ref="A56:M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12" min="3" style="1" width="13"/>
  </cols>
  <sheetData>
    <row r="1" customFormat="false" ht="15" hidden="false" customHeight="true" outlineLevel="0" collapsed="false">
      <c r="A1" s="4" t="s">
        <v>199</v>
      </c>
      <c r="B1" s="4" t="s">
        <v>157</v>
      </c>
      <c r="C1" s="4" t="s">
        <v>338</v>
      </c>
      <c r="D1" s="4" t="s">
        <v>339</v>
      </c>
      <c r="E1" s="4" t="s">
        <v>340</v>
      </c>
      <c r="F1" s="4" t="s">
        <v>341</v>
      </c>
      <c r="G1" s="4" t="s">
        <v>342</v>
      </c>
      <c r="H1" s="4" t="s">
        <v>343</v>
      </c>
      <c r="I1" s="4" t="s">
        <v>344</v>
      </c>
      <c r="J1" s="4" t="s">
        <v>345</v>
      </c>
      <c r="K1" s="4" t="s">
        <v>346</v>
      </c>
      <c r="L1" s="4" t="s">
        <v>347</v>
      </c>
    </row>
    <row r="2" customFormat="false" ht="15" hidden="false" customHeight="true" outlineLevel="0" collapsed="false">
      <c r="A2" s="5" t="s">
        <v>365</v>
      </c>
      <c r="B2" s="19" t="s">
        <v>366</v>
      </c>
      <c r="C2" s="48" t="n">
        <f aca="false">'AMB-Assumptions'!C46</f>
        <v>112</v>
      </c>
      <c r="D2" s="48" t="n">
        <f aca="false">'AMB-Assumptions'!D46</f>
        <v>116</v>
      </c>
      <c r="E2" s="48" t="n">
        <f aca="false">'AMB-Assumptions'!E46</f>
        <v>119</v>
      </c>
      <c r="F2" s="48" t="n">
        <f aca="false">'AMB-Assumptions'!F46</f>
        <v>121</v>
      </c>
      <c r="G2" s="48" t="n">
        <f aca="false">'AMB-Assumptions'!G46</f>
        <v>123</v>
      </c>
      <c r="H2" s="48" t="n">
        <f aca="false">'AMB-Assumptions'!H46</f>
        <v>125</v>
      </c>
      <c r="I2" s="48" t="n">
        <f aca="false">'AMB-Assumptions'!I46</f>
        <v>127</v>
      </c>
      <c r="J2" s="48" t="n">
        <f aca="false">'AMB-Assumptions'!J46</f>
        <v>129</v>
      </c>
      <c r="K2" s="48" t="n">
        <f aca="false">'AMB-Assumptions'!K46</f>
        <v>131</v>
      </c>
      <c r="L2" s="48" t="n">
        <f aca="false">'AMB-Assumptions'!L46</f>
        <v>133</v>
      </c>
    </row>
    <row r="3" customFormat="false" ht="15" hidden="false" customHeight="true" outlineLevel="0" collapsed="false">
      <c r="A3" s="5" t="s">
        <v>367</v>
      </c>
      <c r="B3" s="19" t="s">
        <v>368</v>
      </c>
      <c r="C3" s="28" t="n">
        <f aca="false">'AMB-Assumptions'!C47</f>
        <v>0.7</v>
      </c>
      <c r="D3" s="28" t="n">
        <f aca="false">'AMB-Assumptions'!D47</f>
        <v>0.725</v>
      </c>
      <c r="E3" s="28" t="n">
        <f aca="false">'AMB-Assumptions'!E47</f>
        <v>0.75</v>
      </c>
      <c r="F3" s="28" t="n">
        <f aca="false">'AMB-Assumptions'!F47</f>
        <v>0.775</v>
      </c>
      <c r="G3" s="28" t="n">
        <f aca="false">'AMB-Assumptions'!G47</f>
        <v>0.795</v>
      </c>
      <c r="H3" s="28" t="n">
        <f aca="false">'AMB-Assumptions'!H47</f>
        <v>0.81</v>
      </c>
      <c r="I3" s="28" t="n">
        <f aca="false">'AMB-Assumptions'!I47</f>
        <v>0.825</v>
      </c>
      <c r="J3" s="28" t="n">
        <f aca="false">'AMB-Assumptions'!J47</f>
        <v>0.835</v>
      </c>
      <c r="K3" s="28" t="n">
        <f aca="false">'AMB-Assumptions'!K47</f>
        <v>0.845</v>
      </c>
      <c r="L3" s="28" t="n">
        <f aca="false">'AMB-Assumptions'!L47</f>
        <v>0.85</v>
      </c>
    </row>
    <row r="4" customFormat="false" ht="15" hidden="false" customHeight="true" outlineLevel="0" collapsed="false">
      <c r="A4" s="6" t="s">
        <v>369</v>
      </c>
      <c r="B4" s="19" t="s">
        <v>172</v>
      </c>
      <c r="C4" s="49" t="n">
        <f aca="false">C2*C3</f>
        <v>78.4</v>
      </c>
      <c r="D4" s="49" t="n">
        <f aca="false">D2*D3</f>
        <v>84.1</v>
      </c>
      <c r="E4" s="49" t="n">
        <f aca="false">E2*E3</f>
        <v>89.25</v>
      </c>
      <c r="F4" s="49" t="n">
        <f aca="false">F2*F3</f>
        <v>93.775</v>
      </c>
      <c r="G4" s="49" t="n">
        <f aca="false">G2*G3</f>
        <v>97.785</v>
      </c>
      <c r="H4" s="49" t="n">
        <f aca="false">H2*H3</f>
        <v>101.25</v>
      </c>
      <c r="I4" s="49" t="n">
        <f aca="false">I2*I3</f>
        <v>104.775</v>
      </c>
      <c r="J4" s="49" t="n">
        <f aca="false">J2*J3</f>
        <v>107.715</v>
      </c>
      <c r="K4" s="49" t="n">
        <f aca="false">K2*K3</f>
        <v>110.695</v>
      </c>
      <c r="L4" s="49" t="n">
        <f aca="false">L2*L3</f>
        <v>113.05</v>
      </c>
    </row>
    <row r="5" customFormat="false" ht="15" hidden="false" customHeight="true" outlineLevel="0" collapsed="false">
      <c r="A5" s="5" t="s">
        <v>370</v>
      </c>
      <c r="B5" s="19" t="s">
        <v>371</v>
      </c>
      <c r="C5" s="50" t="n">
        <f aca="false">'AMB-Assumptions'!$B$9*(1+'AMB-Assumptions'!C48)</f>
        <v>5757.72248</v>
      </c>
      <c r="D5" s="50" t="n">
        <f aca="false">C5*(1+'AMB-Assumptions'!D48)</f>
        <v>5988.0313792</v>
      </c>
      <c r="E5" s="50" t="n">
        <f aca="false">D5*(1+'AMB-Assumptions'!E48)</f>
        <v>6179.6483833344</v>
      </c>
      <c r="F5" s="50" t="n">
        <f aca="false">E5*(1+'AMB-Assumptions'!F48)</f>
        <v>6327.95994453443</v>
      </c>
      <c r="G5" s="50" t="n">
        <f aca="false">F5*(1+'AMB-Assumptions'!G48)</f>
        <v>6454.51914342512</v>
      </c>
      <c r="H5" s="50" t="n">
        <f aca="false">G5*(1+'AMB-Assumptions'!H48)</f>
        <v>6557.79144971992</v>
      </c>
      <c r="I5" s="50" t="n">
        <f aca="false">H5*(1+'AMB-Assumptions'!I48)</f>
        <v>6649.600530016</v>
      </c>
      <c r="J5" s="50" t="n">
        <f aca="false">I5*(1+'AMB-Assumptions'!J48)</f>
        <v>6729.39573637619</v>
      </c>
      <c r="K5" s="50" t="n">
        <f aca="false">J5*(1+'AMB-Assumptions'!K48)</f>
        <v>6810.1484852127</v>
      </c>
      <c r="L5" s="50" t="n">
        <f aca="false">K5*(1+'AMB-Assumptions'!L48)</f>
        <v>6891.87026703526</v>
      </c>
    </row>
    <row r="6" customFormat="false" ht="15" hidden="false" customHeight="true" outlineLevel="0" collapsed="false">
      <c r="A6" s="6" t="s">
        <v>372</v>
      </c>
      <c r="B6" s="19" t="s">
        <v>160</v>
      </c>
      <c r="C6" s="23" t="n">
        <f aca="false">C4*C5/10</f>
        <v>45140.5442432</v>
      </c>
      <c r="D6" s="23" t="n">
        <f aca="false">D4*D5/10</f>
        <v>50359.343899072</v>
      </c>
      <c r="E6" s="23" t="n">
        <f aca="false">E4*E5/10</f>
        <v>55153.3618212595</v>
      </c>
      <c r="F6" s="23" t="n">
        <f aca="false">F4*F5/10</f>
        <v>59340.4443798716</v>
      </c>
      <c r="G6" s="23" t="n">
        <f aca="false">G4*G5/10</f>
        <v>63115.5154439825</v>
      </c>
      <c r="H6" s="23" t="n">
        <f aca="false">H4*H5/10</f>
        <v>66397.6384284142</v>
      </c>
      <c r="I6" s="23" t="n">
        <f aca="false">I4*I5/10</f>
        <v>69671.1895532426</v>
      </c>
      <c r="J6" s="23" t="n">
        <f aca="false">J4*J5/10</f>
        <v>72485.6861743761</v>
      </c>
      <c r="K6" s="23" t="n">
        <f aca="false">K4*K5/10</f>
        <v>75384.938657062</v>
      </c>
      <c r="L6" s="23" t="n">
        <f aca="false">L4*L5/10</f>
        <v>77912.5933688336</v>
      </c>
    </row>
    <row r="8" customFormat="false" ht="15" hidden="false" customHeight="true" outlineLevel="0" collapsed="false">
      <c r="A8" s="5" t="s">
        <v>373</v>
      </c>
      <c r="B8" s="19" t="s">
        <v>368</v>
      </c>
      <c r="C8" s="28" t="n">
        <f aca="false">'AMB-Assumptions'!C49</f>
        <v>0.615</v>
      </c>
      <c r="D8" s="28" t="n">
        <f aca="false">'AMB-Assumptions'!D49</f>
        <v>0.613</v>
      </c>
      <c r="E8" s="28" t="n">
        <f aca="false">'AMB-Assumptions'!E49</f>
        <v>0.611</v>
      </c>
      <c r="F8" s="28" t="n">
        <f aca="false">'AMB-Assumptions'!F49</f>
        <v>0.609</v>
      </c>
      <c r="G8" s="28" t="n">
        <f aca="false">'AMB-Assumptions'!G49</f>
        <v>0.607</v>
      </c>
      <c r="H8" s="28" t="n">
        <f aca="false">'AMB-Assumptions'!H49</f>
        <v>0.605</v>
      </c>
      <c r="I8" s="28" t="n">
        <f aca="false">'AMB-Assumptions'!I49</f>
        <v>0.604</v>
      </c>
      <c r="J8" s="28" t="n">
        <f aca="false">'AMB-Assumptions'!J49</f>
        <v>0.603</v>
      </c>
      <c r="K8" s="28" t="n">
        <f aca="false">'AMB-Assumptions'!K49</f>
        <v>0.602</v>
      </c>
      <c r="L8" s="28" t="n">
        <f aca="false">'AMB-Assumptions'!L49</f>
        <v>0.6</v>
      </c>
    </row>
    <row r="9" customFormat="false" ht="15" hidden="false" customHeight="true" outlineLevel="0" collapsed="false">
      <c r="A9" s="5" t="s">
        <v>374</v>
      </c>
      <c r="B9" s="19" t="s">
        <v>160</v>
      </c>
      <c r="C9" s="26" t="n">
        <f aca="false">C6*C8</f>
        <v>27761.434709568</v>
      </c>
      <c r="D9" s="26" t="n">
        <f aca="false">D6*D8</f>
        <v>30870.2778101311</v>
      </c>
      <c r="E9" s="26" t="n">
        <f aca="false">E6*E8</f>
        <v>33698.7040727896</v>
      </c>
      <c r="F9" s="26" t="n">
        <f aca="false">F6*F8</f>
        <v>36138.3306273418</v>
      </c>
      <c r="G9" s="26" t="n">
        <f aca="false">G6*G8</f>
        <v>38311.1178744974</v>
      </c>
      <c r="H9" s="26" t="n">
        <f aca="false">H6*H8</f>
        <v>40170.5712491906</v>
      </c>
      <c r="I9" s="26" t="n">
        <f aca="false">I6*I8</f>
        <v>42081.3984901585</v>
      </c>
      <c r="J9" s="26" t="n">
        <f aca="false">J6*J8</f>
        <v>43708.8687631488</v>
      </c>
      <c r="K9" s="26" t="n">
        <f aca="false">K6*K8</f>
        <v>45381.7330715513</v>
      </c>
      <c r="L9" s="26" t="n">
        <f aca="false">L6*L8</f>
        <v>46747.5560213001</v>
      </c>
    </row>
    <row r="10" customFormat="false" ht="15" hidden="false" customHeight="true" outlineLevel="0" collapsed="false">
      <c r="A10" s="5" t="s">
        <v>354</v>
      </c>
      <c r="B10" s="19" t="s">
        <v>368</v>
      </c>
      <c r="C10" s="28" t="n">
        <f aca="false">'AMB-Assumptions'!C50</f>
        <v>0.13</v>
      </c>
      <c r="D10" s="28" t="n">
        <f aca="false">'AMB-Assumptions'!D50</f>
        <v>0.142</v>
      </c>
      <c r="E10" s="28" t="n">
        <f aca="false">'AMB-Assumptions'!E50</f>
        <v>0.152</v>
      </c>
      <c r="F10" s="28" t="n">
        <f aca="false">'AMB-Assumptions'!F50</f>
        <v>0.16</v>
      </c>
      <c r="G10" s="28" t="n">
        <f aca="false">'AMB-Assumptions'!G50</f>
        <v>0.167</v>
      </c>
      <c r="H10" s="28" t="n">
        <f aca="false">'AMB-Assumptions'!H50</f>
        <v>0.173</v>
      </c>
      <c r="I10" s="28" t="n">
        <f aca="false">'AMB-Assumptions'!I50</f>
        <v>0.178</v>
      </c>
      <c r="J10" s="28" t="n">
        <f aca="false">'AMB-Assumptions'!J50</f>
        <v>0.183</v>
      </c>
      <c r="K10" s="28" t="n">
        <f aca="false">'AMB-Assumptions'!K50</f>
        <v>0.187</v>
      </c>
      <c r="L10" s="28" t="n">
        <f aca="false">'AMB-Assumptions'!L50</f>
        <v>0.19</v>
      </c>
    </row>
    <row r="11" customFormat="false" ht="15" hidden="false" customHeight="true" outlineLevel="0" collapsed="false">
      <c r="A11" s="6" t="s">
        <v>375</v>
      </c>
      <c r="B11" s="19" t="s">
        <v>160</v>
      </c>
      <c r="C11" s="23" t="n">
        <f aca="false">C9*C10</f>
        <v>3608.98651224384</v>
      </c>
      <c r="D11" s="23" t="n">
        <f aca="false">D9*D10</f>
        <v>4383.57944903862</v>
      </c>
      <c r="E11" s="23" t="n">
        <f aca="false">E9*E10</f>
        <v>5122.20301906401</v>
      </c>
      <c r="F11" s="23" t="n">
        <f aca="false">F9*F10</f>
        <v>5782.13290037469</v>
      </c>
      <c r="G11" s="23" t="n">
        <f aca="false">G9*G10</f>
        <v>6397.95668504106</v>
      </c>
      <c r="H11" s="23" t="n">
        <f aca="false">H9*H10</f>
        <v>6949.50882610997</v>
      </c>
      <c r="I11" s="23" t="n">
        <f aca="false">I9*I10</f>
        <v>7490.48893124822</v>
      </c>
      <c r="J11" s="23" t="n">
        <f aca="false">J9*J10</f>
        <v>7998.72298365623</v>
      </c>
      <c r="K11" s="23" t="n">
        <f aca="false">K9*K10</f>
        <v>8486.3840843801</v>
      </c>
      <c r="L11" s="23" t="n">
        <f aca="false">L9*L10</f>
        <v>8882.03564404703</v>
      </c>
    </row>
    <row r="13" customFormat="false" ht="15" hidden="false" customHeight="true" outlineLevel="0" collapsed="false">
      <c r="A13" s="5" t="s">
        <v>376</v>
      </c>
      <c r="B13" s="19" t="s">
        <v>160</v>
      </c>
      <c r="C13" s="26" t="n">
        <f aca="false">C6-C9</f>
        <v>17379.109533632</v>
      </c>
      <c r="D13" s="26" t="n">
        <f aca="false">D6-D9</f>
        <v>19489.0660889409</v>
      </c>
      <c r="E13" s="26" t="n">
        <f aca="false">E6-E9</f>
        <v>21454.65774847</v>
      </c>
      <c r="F13" s="26" t="n">
        <f aca="false">F6-F9</f>
        <v>23202.1137525298</v>
      </c>
      <c r="G13" s="26" t="n">
        <f aca="false">G6-G9</f>
        <v>24804.3975694851</v>
      </c>
      <c r="H13" s="26" t="n">
        <f aca="false">H6-H9</f>
        <v>26227.0671792236</v>
      </c>
      <c r="I13" s="26" t="n">
        <f aca="false">I6-I9</f>
        <v>27589.7910630841</v>
      </c>
      <c r="J13" s="26" t="n">
        <f aca="false">J6-J9</f>
        <v>28776.8174112273</v>
      </c>
      <c r="K13" s="26" t="n">
        <f aca="false">K6-K9</f>
        <v>30003.2055855107</v>
      </c>
      <c r="L13" s="26" t="n">
        <f aca="false">L6-L9</f>
        <v>31165.0373475334</v>
      </c>
    </row>
    <row r="14" customFormat="false" ht="15" hidden="false" customHeight="true" outlineLevel="0" collapsed="false">
      <c r="A14" s="5" t="s">
        <v>356</v>
      </c>
      <c r="B14" s="19" t="s">
        <v>368</v>
      </c>
      <c r="C14" s="28" t="n">
        <f aca="false">'AMB-Assumptions'!C51</f>
        <v>0.236</v>
      </c>
      <c r="D14" s="28" t="n">
        <f aca="false">'AMB-Assumptions'!D51</f>
        <v>0.24</v>
      </c>
      <c r="E14" s="28" t="n">
        <f aca="false">'AMB-Assumptions'!E51</f>
        <v>0.244</v>
      </c>
      <c r="F14" s="28" t="n">
        <f aca="false">'AMB-Assumptions'!F51</f>
        <v>0.247</v>
      </c>
      <c r="G14" s="28" t="n">
        <f aca="false">'AMB-Assumptions'!G51</f>
        <v>0.25</v>
      </c>
      <c r="H14" s="28" t="n">
        <f aca="false">'AMB-Assumptions'!H51</f>
        <v>0.252</v>
      </c>
      <c r="I14" s="28" t="n">
        <f aca="false">'AMB-Assumptions'!I51</f>
        <v>0.254</v>
      </c>
      <c r="J14" s="28" t="n">
        <f aca="false">'AMB-Assumptions'!J51</f>
        <v>0.256</v>
      </c>
      <c r="K14" s="28" t="n">
        <f aca="false">'AMB-Assumptions'!K51</f>
        <v>0.258</v>
      </c>
      <c r="L14" s="28" t="n">
        <f aca="false">'AMB-Assumptions'!L51</f>
        <v>0.26</v>
      </c>
    </row>
    <row r="15" customFormat="false" ht="15" hidden="false" customHeight="true" outlineLevel="0" collapsed="false">
      <c r="A15" s="6" t="s">
        <v>377</v>
      </c>
      <c r="B15" s="19" t="s">
        <v>160</v>
      </c>
      <c r="C15" s="23" t="n">
        <f aca="false">C13*C14</f>
        <v>4101.46984993715</v>
      </c>
      <c r="D15" s="23" t="n">
        <f aca="false">D13*D14</f>
        <v>4677.37586134581</v>
      </c>
      <c r="E15" s="23" t="n">
        <f aca="false">E13*E14</f>
        <v>5234.93649062667</v>
      </c>
      <c r="F15" s="23" t="n">
        <f aca="false">F13*F14</f>
        <v>5730.92209687486</v>
      </c>
      <c r="G15" s="23" t="n">
        <f aca="false">G13*G14</f>
        <v>6201.09939237128</v>
      </c>
      <c r="H15" s="23" t="n">
        <f aca="false">H13*H14</f>
        <v>6609.22092916435</v>
      </c>
      <c r="I15" s="23" t="n">
        <f aca="false">I13*I14</f>
        <v>7007.80693002335</v>
      </c>
      <c r="J15" s="23" t="n">
        <f aca="false">J13*J14</f>
        <v>7366.86525727419</v>
      </c>
      <c r="K15" s="23" t="n">
        <f aca="false">K13*K14</f>
        <v>7740.82704106175</v>
      </c>
      <c r="L15" s="23" t="n">
        <f aca="false">L13*L14</f>
        <v>8102.90971035869</v>
      </c>
    </row>
    <row r="17" customFormat="false" ht="15" hidden="false" customHeight="true" outlineLevel="0" collapsed="false">
      <c r="A17" s="6" t="s">
        <v>214</v>
      </c>
      <c r="B17" s="19" t="s">
        <v>160</v>
      </c>
      <c r="C17" s="23" t="n">
        <f aca="false">C11+C15</f>
        <v>7710.45636218099</v>
      </c>
      <c r="D17" s="23" t="n">
        <f aca="false">D11+D15</f>
        <v>9060.95531038443</v>
      </c>
      <c r="E17" s="23" t="n">
        <f aca="false">E11+E15</f>
        <v>10357.1395096907</v>
      </c>
      <c r="F17" s="23" t="n">
        <f aca="false">F11+F15</f>
        <v>11513.0549972495</v>
      </c>
      <c r="G17" s="23" t="n">
        <f aca="false">G11+G15</f>
        <v>12599.0560774123</v>
      </c>
      <c r="H17" s="23" t="n">
        <f aca="false">H11+H15</f>
        <v>13558.7297552743</v>
      </c>
      <c r="I17" s="23" t="n">
        <f aca="false">I11+I15</f>
        <v>14498.2958612716</v>
      </c>
      <c r="J17" s="23" t="n">
        <f aca="false">J11+J15</f>
        <v>15365.5882409304</v>
      </c>
      <c r="K17" s="23" t="n">
        <f aca="false">K11+K15</f>
        <v>16227.2111254419</v>
      </c>
      <c r="L17" s="23" t="n">
        <f aca="false">L11+L15</f>
        <v>16984.9453544057</v>
      </c>
    </row>
    <row r="18" customFormat="false" ht="15" hidden="false" customHeight="true" outlineLevel="0" collapsed="false">
      <c r="A18" s="5" t="s">
        <v>378</v>
      </c>
      <c r="B18" s="19" t="s">
        <v>368</v>
      </c>
      <c r="C18" s="28" t="n">
        <f aca="false">C17/C6</f>
        <v>0.17081</v>
      </c>
      <c r="D18" s="28" t="n">
        <f aca="false">D17/D6</f>
        <v>0.179926</v>
      </c>
      <c r="E18" s="28" t="n">
        <f aca="false">E17/E6</f>
        <v>0.187788</v>
      </c>
      <c r="F18" s="28" t="n">
        <f aca="false">F17/F6</f>
        <v>0.194017</v>
      </c>
      <c r="G18" s="28" t="n">
        <f aca="false">G17/G6</f>
        <v>0.199619</v>
      </c>
      <c r="H18" s="28" t="n">
        <f aca="false">H17/H6</f>
        <v>0.204205</v>
      </c>
      <c r="I18" s="28" t="n">
        <f aca="false">I17/I6</f>
        <v>0.208096</v>
      </c>
      <c r="J18" s="28" t="n">
        <f aca="false">J17/J6</f>
        <v>0.211981</v>
      </c>
      <c r="K18" s="28" t="n">
        <f aca="false">K17/K6</f>
        <v>0.215258</v>
      </c>
      <c r="L18" s="28" t="n">
        <f aca="false">L17/L6</f>
        <v>0.218</v>
      </c>
    </row>
    <row r="19" customFormat="false" ht="15" hidden="false" customHeight="true" outlineLevel="0" collapsed="false">
      <c r="A19" s="5" t="s">
        <v>379</v>
      </c>
      <c r="B19" s="19" t="s">
        <v>371</v>
      </c>
      <c r="C19" s="50" t="n">
        <f aca="false">C17*10/C4</f>
        <v>983.4765768088</v>
      </c>
      <c r="D19" s="50" t="n">
        <f aca="false">D17*10/D4</f>
        <v>1077.40253393394</v>
      </c>
      <c r="E19" s="50" t="n">
        <f aca="false">E17*10/E4</f>
        <v>1160.4638106096</v>
      </c>
      <c r="F19" s="50" t="n">
        <f aca="false">F17*10/F4</f>
        <v>1227.73180455874</v>
      </c>
      <c r="G19" s="50" t="n">
        <f aca="false">G17*10/G4</f>
        <v>1288.44465689138</v>
      </c>
      <c r="H19" s="50" t="n">
        <f aca="false">H17*10/H4</f>
        <v>1339.13380299006</v>
      </c>
      <c r="I19" s="50" t="n">
        <f aca="false">I17*10/I4</f>
        <v>1383.75527189421</v>
      </c>
      <c r="J19" s="50" t="n">
        <f aca="false">J17*10/J4</f>
        <v>1426.50403759276</v>
      </c>
      <c r="K19" s="50" t="n">
        <f aca="false">K17*10/K4</f>
        <v>1465.93894262992</v>
      </c>
      <c r="L19" s="50" t="n">
        <f aca="false">L17*10/L4</f>
        <v>1502.42771821369</v>
      </c>
    </row>
    <row r="21" customFormat="false" ht="15" hidden="false" customHeight="true" outlineLevel="0" collapsed="false">
      <c r="A21" s="5" t="s">
        <v>380</v>
      </c>
      <c r="B21" s="19" t="s">
        <v>160</v>
      </c>
      <c r="C21" s="26" t="n">
        <f aca="false">'AMB-Assumptions'!$B$10</f>
        <v>44368.88</v>
      </c>
      <c r="D21" s="26" t="n">
        <f aca="false">C24</f>
        <v>50319.3696</v>
      </c>
      <c r="E21" s="26" t="n">
        <f aca="false">D24</f>
        <v>55293.820032</v>
      </c>
      <c r="F21" s="26" t="n">
        <f aca="false">E24</f>
        <v>59370.31442944</v>
      </c>
      <c r="G21" s="26" t="n">
        <f aca="false">F24</f>
        <v>62620.6892750848</v>
      </c>
      <c r="H21" s="26" t="n">
        <f aca="false">G24</f>
        <v>65111.034133078</v>
      </c>
      <c r="I21" s="26" t="n">
        <f aca="false">H24</f>
        <v>67402.1514024318</v>
      </c>
      <c r="J21" s="26" t="n">
        <f aca="false">I24</f>
        <v>69509.9792902372</v>
      </c>
      <c r="K21" s="26" t="n">
        <f aca="false">J24</f>
        <v>71449.1809470183</v>
      </c>
      <c r="L21" s="26" t="n">
        <f aca="false">K24</f>
        <v>73233.2464712568</v>
      </c>
    </row>
    <row r="22" customFormat="false" ht="15" hidden="false" customHeight="true" outlineLevel="0" collapsed="false">
      <c r="A22" s="5" t="s">
        <v>165</v>
      </c>
      <c r="B22" s="19" t="s">
        <v>160</v>
      </c>
      <c r="C22" s="26" t="n">
        <f aca="false">C21*'AMB-Assumptions'!C53</f>
        <v>3549.5104</v>
      </c>
      <c r="D22" s="26" t="n">
        <f aca="false">D21*'AMB-Assumptions'!D53</f>
        <v>4025.549568</v>
      </c>
      <c r="E22" s="26" t="n">
        <f aca="false">E21*'AMB-Assumptions'!E53</f>
        <v>4423.50560256</v>
      </c>
      <c r="F22" s="26" t="n">
        <f aca="false">F21*'AMB-Assumptions'!F53</f>
        <v>4749.6251543552</v>
      </c>
      <c r="G22" s="26" t="n">
        <f aca="false">G21*'AMB-Assumptions'!G53</f>
        <v>5009.65514200678</v>
      </c>
      <c r="H22" s="26" t="n">
        <f aca="false">H21*'AMB-Assumptions'!H53</f>
        <v>5208.88273064624</v>
      </c>
      <c r="I22" s="26" t="n">
        <f aca="false">I21*'AMB-Assumptions'!I53</f>
        <v>5392.17211219454</v>
      </c>
      <c r="J22" s="26" t="n">
        <f aca="false">J21*'AMB-Assumptions'!J53</f>
        <v>5560.79834321898</v>
      </c>
      <c r="K22" s="26" t="n">
        <f aca="false">K21*'AMB-Assumptions'!K53</f>
        <v>5715.93447576146</v>
      </c>
      <c r="L22" s="26" t="n">
        <f aca="false">L21*'AMB-Assumptions'!L53</f>
        <v>5858.65971770054</v>
      </c>
    </row>
    <row r="23" customFormat="false" ht="15" hidden="false" customHeight="true" outlineLevel="0" collapsed="false">
      <c r="A23" s="5" t="s">
        <v>358</v>
      </c>
      <c r="B23" s="19" t="s">
        <v>160</v>
      </c>
      <c r="C23" s="26" t="n">
        <f aca="false">'AMB-Assumptions'!C52</f>
        <v>9500</v>
      </c>
      <c r="D23" s="26" t="n">
        <f aca="false">'AMB-Assumptions'!D52</f>
        <v>9000</v>
      </c>
      <c r="E23" s="26" t="n">
        <f aca="false">'AMB-Assumptions'!E52</f>
        <v>8500</v>
      </c>
      <c r="F23" s="26" t="n">
        <f aca="false">'AMB-Assumptions'!F52</f>
        <v>8000</v>
      </c>
      <c r="G23" s="26" t="n">
        <f aca="false">'AMB-Assumptions'!G52</f>
        <v>7500</v>
      </c>
      <c r="H23" s="26" t="n">
        <f aca="false">'AMB-Assumptions'!H52</f>
        <v>7500</v>
      </c>
      <c r="I23" s="26" t="n">
        <f aca="false">'AMB-Assumptions'!I52</f>
        <v>7500</v>
      </c>
      <c r="J23" s="26" t="n">
        <f aca="false">'AMB-Assumptions'!J52</f>
        <v>7500</v>
      </c>
      <c r="K23" s="26" t="n">
        <f aca="false">'AMB-Assumptions'!K52</f>
        <v>7500</v>
      </c>
      <c r="L23" s="26" t="n">
        <f aca="false">'AMB-Assumptions'!L52</f>
        <v>7500</v>
      </c>
    </row>
    <row r="24" customFormat="false" ht="15" hidden="false" customHeight="true" outlineLevel="0" collapsed="false">
      <c r="A24" s="5" t="s">
        <v>381</v>
      </c>
      <c r="B24" s="19" t="s">
        <v>160</v>
      </c>
      <c r="C24" s="26" t="n">
        <f aca="false">C21+C23-C22</f>
        <v>50319.3696</v>
      </c>
      <c r="D24" s="26" t="n">
        <f aca="false">D21+D23-D22</f>
        <v>55293.820032</v>
      </c>
      <c r="E24" s="26" t="n">
        <f aca="false">E21+E23-E22</f>
        <v>59370.31442944</v>
      </c>
      <c r="F24" s="26" t="n">
        <f aca="false">F21+F23-F22</f>
        <v>62620.6892750848</v>
      </c>
      <c r="G24" s="26" t="n">
        <f aca="false">G21+G23-G22</f>
        <v>65111.034133078</v>
      </c>
      <c r="H24" s="26" t="n">
        <f aca="false">H21+H23-H22</f>
        <v>67402.1514024318</v>
      </c>
      <c r="I24" s="26" t="n">
        <f aca="false">I21+I23-I22</f>
        <v>69509.9792902372</v>
      </c>
      <c r="J24" s="26" t="n">
        <f aca="false">J21+J23-J22</f>
        <v>71449.1809470183</v>
      </c>
      <c r="K24" s="26" t="n">
        <f aca="false">K21+K23-K22</f>
        <v>73233.2464712568</v>
      </c>
      <c r="L24" s="26" t="n">
        <f aca="false">L21+L23-L22</f>
        <v>74874.5867535562</v>
      </c>
    </row>
    <row r="25" customFormat="false" ht="15" hidden="false" customHeight="true" outlineLevel="0" collapsed="false">
      <c r="A25" s="6" t="s">
        <v>190</v>
      </c>
      <c r="B25" s="19" t="s">
        <v>160</v>
      </c>
      <c r="C25" s="23" t="n">
        <f aca="false">C17-C22</f>
        <v>4160.94596218099</v>
      </c>
      <c r="D25" s="23" t="n">
        <f aca="false">D17-D22</f>
        <v>5035.40574238443</v>
      </c>
      <c r="E25" s="23" t="n">
        <f aca="false">E17-E22</f>
        <v>5933.63390713068</v>
      </c>
      <c r="F25" s="23" t="n">
        <f aca="false">F17-F22</f>
        <v>6763.42984289435</v>
      </c>
      <c r="G25" s="23" t="n">
        <f aca="false">G17-G22</f>
        <v>7589.40093540556</v>
      </c>
      <c r="H25" s="23" t="n">
        <f aca="false">H17-H22</f>
        <v>8349.84702462807</v>
      </c>
      <c r="I25" s="23" t="n">
        <f aca="false">I17-I22</f>
        <v>9106.12374907703</v>
      </c>
      <c r="J25" s="23" t="n">
        <f aca="false">J17-J22</f>
        <v>9804.78989771145</v>
      </c>
      <c r="K25" s="23" t="n">
        <f aca="false">K17-K22</f>
        <v>10511.2766496804</v>
      </c>
      <c r="L25" s="23" t="n">
        <f aca="false">L17-L22</f>
        <v>11126.2856367052</v>
      </c>
    </row>
    <row r="26" customFormat="false" ht="15" hidden="false" customHeight="true" outlineLevel="0" collapsed="false">
      <c r="A26" s="6" t="s">
        <v>382</v>
      </c>
      <c r="B26" s="19" t="s">
        <v>160</v>
      </c>
      <c r="C26" s="23" t="n">
        <f aca="false">C25*(1-'AMB-Assumptions'!$B$35)</f>
        <v>3113.71908241928</v>
      </c>
      <c r="D26" s="23" t="n">
        <f aca="false">D25*(1-'AMB-Assumptions'!$B$35)</f>
        <v>3768.09482514112</v>
      </c>
      <c r="E26" s="23" t="n">
        <f aca="false">E25*(1-'AMB-Assumptions'!$B$35)</f>
        <v>4440.25692538403</v>
      </c>
      <c r="F26" s="23" t="n">
        <f aca="false">F25*(1-'AMB-Assumptions'!$B$35)</f>
        <v>5061.2098200347</v>
      </c>
      <c r="G26" s="23" t="n">
        <f aca="false">G25*(1-'AMB-Assumptions'!$B$35)</f>
        <v>5679.30050798269</v>
      </c>
      <c r="H26" s="23" t="n">
        <f aca="false">H25*(1-'AMB-Assumptions'!$B$35)</f>
        <v>6248.35752546968</v>
      </c>
      <c r="I26" s="23" t="n">
        <f aca="false">I25*(1-'AMB-Assumptions'!$B$35)</f>
        <v>6814.29452390932</v>
      </c>
      <c r="J26" s="23" t="n">
        <f aca="false">J25*(1-'AMB-Assumptions'!$B$35)</f>
        <v>7337.12037625543</v>
      </c>
      <c r="K26" s="23" t="n">
        <f aca="false">K25*(1-'AMB-Assumptions'!$B$35)</f>
        <v>7865.79854248883</v>
      </c>
      <c r="L26" s="23" t="n">
        <f aca="false">L25*(1-'AMB-Assumptions'!$B$35)</f>
        <v>8326.02206765922</v>
      </c>
    </row>
    <row r="27" customFormat="false" ht="15" hidden="false" customHeight="true" outlineLevel="0" collapsed="false">
      <c r="A27" s="5" t="s">
        <v>383</v>
      </c>
      <c r="B27" s="19" t="s">
        <v>160</v>
      </c>
      <c r="C27" s="26" t="n">
        <f aca="false">C6*'AMB-Assumptions'!C54</f>
        <v>-153.47785042688</v>
      </c>
      <c r="D27" s="26" t="n">
        <f aca="false">D6*'AMB-Assumptions'!D54</f>
        <v>-171.221769256845</v>
      </c>
      <c r="E27" s="26" t="n">
        <f aca="false">E6*'AMB-Assumptions'!E54</f>
        <v>-187.521430192282</v>
      </c>
      <c r="F27" s="26" t="n">
        <f aca="false">F6*'AMB-Assumptions'!F54</f>
        <v>-201.757510891563</v>
      </c>
      <c r="G27" s="26" t="n">
        <f aca="false">G6*'AMB-Assumptions'!G54</f>
        <v>-214.59275250954</v>
      </c>
      <c r="H27" s="26" t="n">
        <f aca="false">H6*'AMB-Assumptions'!H54</f>
        <v>-225.751970656608</v>
      </c>
      <c r="I27" s="26" t="n">
        <f aca="false">I6*'AMB-Assumptions'!I54</f>
        <v>-236.882044481025</v>
      </c>
      <c r="J27" s="26" t="n">
        <f aca="false">J6*'AMB-Assumptions'!J54</f>
        <v>-246.451332992879</v>
      </c>
      <c r="K27" s="26" t="n">
        <f aca="false">K6*'AMB-Assumptions'!K54</f>
        <v>-256.308791434011</v>
      </c>
      <c r="L27" s="26" t="n">
        <f aca="false">L6*'AMB-Assumptions'!L54</f>
        <v>-264.902817454034</v>
      </c>
    </row>
    <row r="28" customFormat="false" ht="15" hidden="false" customHeight="true" outlineLevel="0" collapsed="false">
      <c r="A28" s="5" t="s">
        <v>384</v>
      </c>
      <c r="B28" s="19" t="s">
        <v>160</v>
      </c>
      <c r="C28" s="26" t="n">
        <f aca="false">C27-'AMB-Assumptions'!$B$3</f>
        <v>-14.07785042688</v>
      </c>
      <c r="D28" s="26" t="n">
        <f aca="false">D27-C27</f>
        <v>-17.7439188299648</v>
      </c>
      <c r="E28" s="26" t="n">
        <f aca="false">E27-D27</f>
        <v>-16.2996609354376</v>
      </c>
      <c r="F28" s="26" t="n">
        <f aca="false">F27-E27</f>
        <v>-14.236080699281</v>
      </c>
      <c r="G28" s="26" t="n">
        <f aca="false">G27-F27</f>
        <v>-12.8352416179771</v>
      </c>
      <c r="H28" s="26" t="n">
        <f aca="false">H27-G27</f>
        <v>-11.1592181470676</v>
      </c>
      <c r="I28" s="26" t="n">
        <f aca="false">I27-H27</f>
        <v>-11.1300738244167</v>
      </c>
      <c r="J28" s="26" t="n">
        <f aca="false">J27-I27</f>
        <v>-9.56928851185396</v>
      </c>
      <c r="K28" s="26" t="n">
        <f aca="false">K27-J27</f>
        <v>-9.85745844113203</v>
      </c>
      <c r="L28" s="26" t="n">
        <f aca="false">L27-K27</f>
        <v>-8.59402602002331</v>
      </c>
    </row>
    <row r="29" customFormat="false" ht="15" hidden="false" customHeight="true" outlineLevel="0" collapsed="false">
      <c r="A29" s="6" t="s">
        <v>17</v>
      </c>
      <c r="B29" s="19" t="s">
        <v>160</v>
      </c>
      <c r="C29" s="23" t="n">
        <f aca="false">C26+C22-C23-C28</f>
        <v>-2822.69266715384</v>
      </c>
      <c r="D29" s="23" t="n">
        <f aca="false">D26+D22-D23-D28</f>
        <v>-1188.61168802892</v>
      </c>
      <c r="E29" s="23" t="n">
        <f aca="false">E26+E22-E23-E28</f>
        <v>380.06218887947</v>
      </c>
      <c r="F29" s="23" t="n">
        <f aca="false">F26+F22-F23-F28</f>
        <v>1825.07105508918</v>
      </c>
      <c r="G29" s="23" t="n">
        <f aca="false">G26+G22-G23-G28</f>
        <v>3201.79089160745</v>
      </c>
      <c r="H29" s="23" t="n">
        <f aca="false">H26+H22-H23-H28</f>
        <v>3968.39947426299</v>
      </c>
      <c r="I29" s="23" t="n">
        <f aca="false">I26+I22-I23-I28</f>
        <v>4717.59670992828</v>
      </c>
      <c r="J29" s="23" t="n">
        <f aca="false">J26+J22-J23-J28</f>
        <v>5407.48800798626</v>
      </c>
      <c r="K29" s="23" t="n">
        <f aca="false">K26+K22-K23-K28</f>
        <v>6091.59047669142</v>
      </c>
      <c r="L29" s="23" t="n">
        <f aca="false">L26+L22-L23-L28</f>
        <v>6693.27581137978</v>
      </c>
    </row>
    <row r="30" customFormat="false" ht="15" hidden="false" customHeight="true" outlineLevel="0" collapsed="false">
      <c r="A30" s="5" t="s">
        <v>385</v>
      </c>
      <c r="B30" s="19" t="s">
        <v>368</v>
      </c>
      <c r="C30" s="28" t="n">
        <f aca="false">IFERROR(C17/C6,"")</f>
        <v>0.17081</v>
      </c>
      <c r="D30" s="28" t="n">
        <f aca="false">IFERROR(D17/D6,"")</f>
        <v>0.179926</v>
      </c>
      <c r="E30" s="28" t="n">
        <f aca="false">IFERROR(E17/E6,"")</f>
        <v>0.187788</v>
      </c>
      <c r="F30" s="28" t="n">
        <f aca="false">IFERROR(F17/F6,"")</f>
        <v>0.194017</v>
      </c>
      <c r="G30" s="28" t="n">
        <f aca="false">IFERROR(G17/G6,"")</f>
        <v>0.199619</v>
      </c>
      <c r="H30" s="28" t="n">
        <f aca="false">IFERROR(H17/H6,"")</f>
        <v>0.204205</v>
      </c>
      <c r="I30" s="28" t="n">
        <f aca="false">IFERROR(I17/I6,"")</f>
        <v>0.208096</v>
      </c>
      <c r="J30" s="28" t="n">
        <f aca="false">IFERROR(J17/J6,"")</f>
        <v>0.211981</v>
      </c>
      <c r="K30" s="28" t="n">
        <f aca="false">IFERROR(K17/K6,"")</f>
        <v>0.215258</v>
      </c>
      <c r="L30" s="28" t="n">
        <f aca="false">IFERROR(L17/L6,"")</f>
        <v>0.218</v>
      </c>
    </row>
    <row r="32" customFormat="false" ht="105" hidden="false" customHeight="true" outlineLevel="0" collapsed="false">
      <c r="A32" s="13" t="s">
        <v>386</v>
      </c>
      <c r="B32" s="13"/>
      <c r="C32" s="13"/>
      <c r="D32" s="13"/>
      <c r="E32" s="13"/>
      <c r="F32" s="13"/>
      <c r="G32" s="13"/>
      <c r="H32" s="13"/>
      <c r="I32" s="13"/>
      <c r="J32" s="13"/>
      <c r="K32" s="13"/>
      <c r="L32" s="13"/>
    </row>
    <row r="35" customFormat="false" ht="15" hidden="false" customHeight="true" outlineLevel="0" collapsed="false">
      <c r="A35" s="8" t="s">
        <v>387</v>
      </c>
      <c r="B35" s="8"/>
      <c r="C35" s="8"/>
      <c r="D35" s="8"/>
    </row>
    <row r="36" customFormat="false" ht="15" hidden="false" customHeight="true" outlineLevel="0" collapsed="false">
      <c r="A36" s="51" t="s">
        <v>199</v>
      </c>
      <c r="B36" s="51" t="s">
        <v>157</v>
      </c>
      <c r="C36" s="51" t="s">
        <v>388</v>
      </c>
      <c r="D36" s="51" t="s">
        <v>389</v>
      </c>
    </row>
    <row r="37" customFormat="false" ht="15" hidden="false" customHeight="true" outlineLevel="0" collapsed="false">
      <c r="C37" s="52" t="s">
        <v>390</v>
      </c>
      <c r="D37" s="52" t="s">
        <v>390</v>
      </c>
    </row>
    <row r="38" customFormat="false" ht="15" hidden="false" customHeight="true" outlineLevel="0" collapsed="false">
      <c r="A38" s="6" t="s">
        <v>391</v>
      </c>
      <c r="B38" s="3"/>
      <c r="D38" s="21" t="n">
        <v>74</v>
      </c>
    </row>
    <row r="39" customFormat="false" ht="15" hidden="false" customHeight="true" outlineLevel="0" collapsed="false">
      <c r="A39" s="6" t="s">
        <v>284</v>
      </c>
      <c r="B39" s="3"/>
      <c r="D39" s="53" t="n">
        <v>109</v>
      </c>
    </row>
    <row r="40" customFormat="false" ht="15" hidden="false" customHeight="true" outlineLevel="0" collapsed="false">
      <c r="A40" s="6" t="s">
        <v>268</v>
      </c>
      <c r="B40" s="3" t="s">
        <v>368</v>
      </c>
      <c r="D40" s="54" t="n">
        <v>0.679</v>
      </c>
    </row>
    <row r="41" customFormat="false" ht="15" hidden="false" customHeight="true" outlineLevel="0" collapsed="false">
      <c r="A41" s="6" t="s">
        <v>205</v>
      </c>
      <c r="B41" s="3" t="s">
        <v>160</v>
      </c>
      <c r="C41" s="20" t="n">
        <v>35336</v>
      </c>
      <c r="D41" s="20" t="n">
        <v>40656</v>
      </c>
    </row>
    <row r="42" customFormat="false" ht="15" hidden="false" customHeight="true" outlineLevel="0" collapsed="false">
      <c r="A42" s="5" t="s">
        <v>392</v>
      </c>
      <c r="B42" s="3" t="s">
        <v>160</v>
      </c>
      <c r="D42" s="20" t="n">
        <v>25062</v>
      </c>
    </row>
    <row r="43" customFormat="false" ht="15" hidden="false" customHeight="true" outlineLevel="0" collapsed="false">
      <c r="A43" s="5" t="s">
        <v>393</v>
      </c>
      <c r="B43" s="3" t="s">
        <v>160</v>
      </c>
      <c r="D43" s="20" t="n">
        <v>15594</v>
      </c>
    </row>
    <row r="44" customFormat="false" ht="15" hidden="false" customHeight="true" outlineLevel="0" collapsed="false">
      <c r="A44" s="6" t="s">
        <v>189</v>
      </c>
      <c r="B44" s="3" t="s">
        <v>160</v>
      </c>
      <c r="C44" s="20" t="n">
        <v>5984</v>
      </c>
      <c r="D44" s="20" t="n">
        <v>6559</v>
      </c>
    </row>
    <row r="45" customFormat="false" ht="15" hidden="false" customHeight="true" outlineLevel="0" collapsed="false">
      <c r="A45" s="5" t="s">
        <v>392</v>
      </c>
      <c r="B45" s="3" t="s">
        <v>160</v>
      </c>
      <c r="D45" s="20" t="n">
        <v>2930</v>
      </c>
    </row>
    <row r="46" customFormat="false" ht="15" hidden="false" customHeight="true" outlineLevel="0" collapsed="false">
      <c r="A46" s="5" t="s">
        <v>393</v>
      </c>
      <c r="B46" s="3" t="s">
        <v>160</v>
      </c>
      <c r="D46" s="20" t="n">
        <v>3629</v>
      </c>
    </row>
    <row r="47" customFormat="false" ht="15" hidden="false" customHeight="true" outlineLevel="0" collapsed="false">
      <c r="A47" s="6" t="s">
        <v>394</v>
      </c>
      <c r="B47" s="3" t="s">
        <v>368</v>
      </c>
      <c r="C47" s="54" t="n">
        <v>0.169</v>
      </c>
      <c r="D47" s="54" t="n">
        <v>0.161</v>
      </c>
    </row>
    <row r="48" customFormat="false" ht="15" hidden="false" customHeight="true" outlineLevel="0" collapsed="false">
      <c r="A48" s="5" t="s">
        <v>395</v>
      </c>
      <c r="B48" s="3" t="s">
        <v>368</v>
      </c>
      <c r="D48" s="54" t="n">
        <v>0.117</v>
      </c>
    </row>
    <row r="49" customFormat="false" ht="15" hidden="false" customHeight="true" outlineLevel="0" collapsed="false">
      <c r="A49" s="5" t="s">
        <v>396</v>
      </c>
      <c r="B49" s="3" t="s">
        <v>368</v>
      </c>
      <c r="D49" s="54" t="n">
        <v>0.233</v>
      </c>
    </row>
    <row r="50" customFormat="false" ht="15" hidden="false" customHeight="true" outlineLevel="0" collapsed="false">
      <c r="A50" s="6" t="s">
        <v>165</v>
      </c>
      <c r="B50" s="3" t="s">
        <v>160</v>
      </c>
      <c r="C50" s="20" t="n">
        <v>2297</v>
      </c>
      <c r="D50" s="20" t="n">
        <v>3570</v>
      </c>
    </row>
    <row r="51" customFormat="false" ht="15" hidden="false" customHeight="true" outlineLevel="0" collapsed="false">
      <c r="A51" s="6" t="s">
        <v>190</v>
      </c>
      <c r="B51" s="3" t="s">
        <v>160</v>
      </c>
      <c r="C51" s="20" t="n">
        <v>3687</v>
      </c>
      <c r="D51" s="20" t="n">
        <v>2989</v>
      </c>
    </row>
    <row r="52" customFormat="false" ht="15" hidden="false" customHeight="true" outlineLevel="0" collapsed="false">
      <c r="A52" s="6" t="s">
        <v>397</v>
      </c>
      <c r="B52" s="3" t="s">
        <v>160</v>
      </c>
      <c r="C52" s="20" t="n">
        <v>36307</v>
      </c>
      <c r="D52" s="20" t="n">
        <v>44369</v>
      </c>
    </row>
    <row r="53" customFormat="false" ht="15" hidden="false" customHeight="true" outlineLevel="0" collapsed="false">
      <c r="A53" s="6" t="s">
        <v>398</v>
      </c>
      <c r="B53" s="3" t="s">
        <v>160</v>
      </c>
      <c r="C53" s="20" t="n">
        <v>16252</v>
      </c>
      <c r="D53" s="20" t="n">
        <v>22979</v>
      </c>
    </row>
    <row r="54" customFormat="false" ht="15" hidden="false" customHeight="true" outlineLevel="0" collapsed="false">
      <c r="A54" s="6" t="s">
        <v>399</v>
      </c>
      <c r="B54" s="3" t="s">
        <v>160</v>
      </c>
      <c r="C54" s="20" t="n">
        <v>52559</v>
      </c>
      <c r="D54" s="20" t="n">
        <v>67208</v>
      </c>
    </row>
    <row r="55" customFormat="false" ht="15" hidden="false" customHeight="true" outlineLevel="0" collapsed="false">
      <c r="A55" s="6" t="s">
        <v>400</v>
      </c>
      <c r="B55" s="3" t="s">
        <v>368</v>
      </c>
      <c r="C55" s="54" t="n">
        <v>0.052</v>
      </c>
      <c r="D55" s="54" t="n">
        <v>0.033</v>
      </c>
    </row>
    <row r="56" customFormat="false" ht="15" hidden="false" customHeight="true" outlineLevel="0" collapsed="false">
      <c r="A56" s="6" t="s">
        <v>401</v>
      </c>
      <c r="B56" s="3" t="s">
        <v>368</v>
      </c>
      <c r="C56" s="54" t="n">
        <v>0.076</v>
      </c>
      <c r="D56" s="54" t="n">
        <v>0.05</v>
      </c>
    </row>
    <row r="58" customFormat="false" ht="90" hidden="false" customHeight="true" outlineLevel="0" collapsed="false">
      <c r="A58" s="29" t="s">
        <v>402</v>
      </c>
      <c r="B58" s="29"/>
      <c r="C58" s="29"/>
      <c r="D58" s="29"/>
    </row>
  </sheetData>
  <mergeCells count="3">
    <mergeCell ref="A32:L32"/>
    <mergeCell ref="A35:D35"/>
    <mergeCell ref="A58:D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12" min="3" style="1" width="13"/>
  </cols>
  <sheetData>
    <row r="1" customFormat="false" ht="15" hidden="false" customHeight="true" outlineLevel="0" collapsed="false">
      <c r="A1" s="4" t="s">
        <v>199</v>
      </c>
      <c r="B1" s="4" t="s">
        <v>157</v>
      </c>
      <c r="C1" s="4" t="s">
        <v>338</v>
      </c>
      <c r="D1" s="4" t="s">
        <v>339</v>
      </c>
      <c r="E1" s="4" t="s">
        <v>340</v>
      </c>
      <c r="F1" s="4" t="s">
        <v>341</v>
      </c>
      <c r="G1" s="4" t="s">
        <v>342</v>
      </c>
      <c r="H1" s="4" t="s">
        <v>343</v>
      </c>
      <c r="I1" s="4" t="s">
        <v>344</v>
      </c>
      <c r="J1" s="4" t="s">
        <v>345</v>
      </c>
      <c r="K1" s="4" t="s">
        <v>346</v>
      </c>
      <c r="L1" s="4" t="s">
        <v>347</v>
      </c>
    </row>
    <row r="2" customFormat="false" ht="15" hidden="false" customHeight="true" outlineLevel="0" collapsed="false">
      <c r="A2" s="6" t="s">
        <v>403</v>
      </c>
      <c r="B2" s="19" t="s">
        <v>160</v>
      </c>
      <c r="C2" s="23" t="n">
        <f aca="false">'AMB-Assumptions'!$B$10+'AMB-Assumptions'!$B$3</f>
        <v>44229.48</v>
      </c>
      <c r="D2" s="23" t="n">
        <f aca="false">C5</f>
        <v>50165.8917495731</v>
      </c>
      <c r="E2" s="23" t="n">
        <f aca="false">D5</f>
        <v>55122.5982627432</v>
      </c>
      <c r="F2" s="23" t="n">
        <f aca="false">E5</f>
        <v>59182.7929992477</v>
      </c>
      <c r="G2" s="23" t="n">
        <f aca="false">F5</f>
        <v>62418.9317641932</v>
      </c>
      <c r="H2" s="23" t="n">
        <f aca="false">G5</f>
        <v>64896.4413805685</v>
      </c>
      <c r="I2" s="23" t="n">
        <f aca="false">H5</f>
        <v>67176.3994317752</v>
      </c>
      <c r="J2" s="23" t="n">
        <f aca="false">I5</f>
        <v>69273.0972457562</v>
      </c>
      <c r="K2" s="23" t="n">
        <f aca="false">J5</f>
        <v>71202.7296140254</v>
      </c>
      <c r="L2" s="23" t="n">
        <f aca="false">K5</f>
        <v>72976.9376798228</v>
      </c>
    </row>
    <row r="3" customFormat="false" ht="15" hidden="false" customHeight="true" outlineLevel="0" collapsed="false">
      <c r="A3" s="5" t="s">
        <v>404</v>
      </c>
      <c r="B3" s="19" t="s">
        <v>160</v>
      </c>
      <c r="C3" s="26" t="n">
        <f aca="false">'AMB-P&amp;L'!C23-'AMB-P&amp;L'!C22</f>
        <v>5950.4896</v>
      </c>
      <c r="D3" s="26" t="n">
        <f aca="false">'AMB-P&amp;L'!D23-'AMB-P&amp;L'!D22</f>
        <v>4974.450432</v>
      </c>
      <c r="E3" s="26" t="n">
        <f aca="false">'AMB-P&amp;L'!E23-'AMB-P&amp;L'!E22</f>
        <v>4076.49439744</v>
      </c>
      <c r="F3" s="26" t="n">
        <f aca="false">'AMB-P&amp;L'!F23-'AMB-P&amp;L'!F22</f>
        <v>3250.3748456448</v>
      </c>
      <c r="G3" s="26" t="n">
        <f aca="false">'AMB-P&amp;L'!G23-'AMB-P&amp;L'!G22</f>
        <v>2490.34485799322</v>
      </c>
      <c r="H3" s="26" t="n">
        <f aca="false">'AMB-P&amp;L'!H23-'AMB-P&amp;L'!H22</f>
        <v>2291.11726935376</v>
      </c>
      <c r="I3" s="26" t="n">
        <f aca="false">'AMB-P&amp;L'!I23-'AMB-P&amp;L'!I22</f>
        <v>2107.82788780546</v>
      </c>
      <c r="J3" s="26" t="n">
        <f aca="false">'AMB-P&amp;L'!J23-'AMB-P&amp;L'!J22</f>
        <v>1939.20165678102</v>
      </c>
      <c r="K3" s="26" t="n">
        <f aca="false">'AMB-P&amp;L'!K23-'AMB-P&amp;L'!K22</f>
        <v>1784.06552423854</v>
      </c>
      <c r="L3" s="26" t="n">
        <f aca="false">'AMB-P&amp;L'!L23-'AMB-P&amp;L'!L22</f>
        <v>1641.34028229946</v>
      </c>
    </row>
    <row r="4" customFormat="false" ht="15" hidden="false" customHeight="true" outlineLevel="0" collapsed="false">
      <c r="A4" s="5" t="s">
        <v>405</v>
      </c>
      <c r="B4" s="19" t="s">
        <v>160</v>
      </c>
      <c r="C4" s="26" t="n">
        <f aca="false">'AMB-P&amp;L'!C28</f>
        <v>-14.07785042688</v>
      </c>
      <c r="D4" s="26" t="n">
        <f aca="false">'AMB-P&amp;L'!D28</f>
        <v>-17.7439188299648</v>
      </c>
      <c r="E4" s="26" t="n">
        <f aca="false">'AMB-P&amp;L'!E28</f>
        <v>-16.2996609354376</v>
      </c>
      <c r="F4" s="26" t="n">
        <f aca="false">'AMB-P&amp;L'!F28</f>
        <v>-14.236080699281</v>
      </c>
      <c r="G4" s="26" t="n">
        <f aca="false">'AMB-P&amp;L'!G28</f>
        <v>-12.8352416179771</v>
      </c>
      <c r="H4" s="26" t="n">
        <f aca="false">'AMB-P&amp;L'!H28</f>
        <v>-11.1592181470676</v>
      </c>
      <c r="I4" s="26" t="n">
        <f aca="false">'AMB-P&amp;L'!I28</f>
        <v>-11.1300738244167</v>
      </c>
      <c r="J4" s="26" t="n">
        <f aca="false">'AMB-P&amp;L'!J28</f>
        <v>-9.56928851185396</v>
      </c>
      <c r="K4" s="26" t="n">
        <f aca="false">'AMB-P&amp;L'!K28</f>
        <v>-9.85745844113203</v>
      </c>
      <c r="L4" s="26" t="n">
        <f aca="false">'AMB-P&amp;L'!L28</f>
        <v>-8.59402602002331</v>
      </c>
    </row>
    <row r="5" customFormat="false" ht="15" hidden="false" customHeight="true" outlineLevel="0" collapsed="false">
      <c r="A5" s="6" t="s">
        <v>406</v>
      </c>
      <c r="B5" s="19" t="s">
        <v>160</v>
      </c>
      <c r="C5" s="23" t="n">
        <f aca="false">SUM(C2:C4)</f>
        <v>50165.8917495731</v>
      </c>
      <c r="D5" s="23" t="n">
        <f aca="false">SUM(D2:D4)</f>
        <v>55122.5982627432</v>
      </c>
      <c r="E5" s="23" t="n">
        <f aca="false">SUM(E2:E4)</f>
        <v>59182.7929992477</v>
      </c>
      <c r="F5" s="23" t="n">
        <f aca="false">SUM(F2:F4)</f>
        <v>62418.9317641932</v>
      </c>
      <c r="G5" s="23" t="n">
        <f aca="false">SUM(G2:G4)</f>
        <v>64896.4413805685</v>
      </c>
      <c r="H5" s="23" t="n">
        <f aca="false">SUM(H2:H4)</f>
        <v>67176.3994317752</v>
      </c>
      <c r="I5" s="23" t="n">
        <f aca="false">SUM(I2:I4)</f>
        <v>69273.0972457562</v>
      </c>
      <c r="J5" s="23" t="n">
        <f aca="false">SUM(J2:J4)</f>
        <v>71202.7296140254</v>
      </c>
      <c r="K5" s="23" t="n">
        <f aca="false">SUM(K2:K4)</f>
        <v>72976.9376798228</v>
      </c>
      <c r="L5" s="23" t="n">
        <f aca="false">SUM(L2:L4)</f>
        <v>74609.6839361022</v>
      </c>
    </row>
    <row r="6" customFormat="false" ht="15" hidden="false" customHeight="true" outlineLevel="0" collapsed="false">
      <c r="A6" s="5" t="s">
        <v>407</v>
      </c>
      <c r="B6" s="19" t="s">
        <v>160</v>
      </c>
      <c r="C6" s="26" t="n">
        <f aca="false">'AMB-Assumptions'!$B$11</f>
        <v>22978.64</v>
      </c>
      <c r="D6" s="26" t="n">
        <f aca="false">'AMB-Assumptions'!$B$11</f>
        <v>22978.64</v>
      </c>
      <c r="E6" s="26" t="n">
        <f aca="false">'AMB-Assumptions'!$B$11</f>
        <v>22978.64</v>
      </c>
      <c r="F6" s="26" t="n">
        <f aca="false">'AMB-Assumptions'!$B$11</f>
        <v>22978.64</v>
      </c>
      <c r="G6" s="26" t="n">
        <f aca="false">'AMB-Assumptions'!$B$11</f>
        <v>22978.64</v>
      </c>
      <c r="H6" s="26" t="n">
        <f aca="false">'AMB-Assumptions'!$B$11</f>
        <v>22978.64</v>
      </c>
      <c r="I6" s="26" t="n">
        <f aca="false">'AMB-Assumptions'!$B$11</f>
        <v>22978.64</v>
      </c>
      <c r="J6" s="26" t="n">
        <f aca="false">'AMB-Assumptions'!$B$11</f>
        <v>22978.64</v>
      </c>
      <c r="K6" s="26" t="n">
        <f aca="false">'AMB-Assumptions'!$B$11</f>
        <v>22978.64</v>
      </c>
      <c r="L6" s="26" t="n">
        <f aca="false">'AMB-Assumptions'!$B$11</f>
        <v>22978.64</v>
      </c>
    </row>
    <row r="7" customFormat="false" ht="15" hidden="false" customHeight="true" outlineLevel="0" collapsed="false">
      <c r="A7" s="6" t="s">
        <v>408</v>
      </c>
      <c r="B7" s="19" t="s">
        <v>160</v>
      </c>
      <c r="C7" s="23" t="n">
        <f aca="false">C2+C6</f>
        <v>67208.12</v>
      </c>
      <c r="D7" s="23" t="n">
        <f aca="false">D2+D6</f>
        <v>73144.5317495731</v>
      </c>
      <c r="E7" s="23" t="n">
        <f aca="false">E2+E6</f>
        <v>78101.2382627432</v>
      </c>
      <c r="F7" s="23" t="n">
        <f aca="false">F2+F6</f>
        <v>82161.4329992477</v>
      </c>
      <c r="G7" s="23" t="n">
        <f aca="false">G2+G6</f>
        <v>85397.5717641932</v>
      </c>
      <c r="H7" s="23" t="n">
        <f aca="false">H2+H6</f>
        <v>87875.0813805685</v>
      </c>
      <c r="I7" s="23" t="n">
        <f aca="false">I2+I6</f>
        <v>90155.0394317752</v>
      </c>
      <c r="J7" s="23" t="n">
        <f aca="false">J2+J6</f>
        <v>92251.7372457562</v>
      </c>
      <c r="K7" s="23" t="n">
        <f aca="false">K2+K6</f>
        <v>94181.3696140254</v>
      </c>
      <c r="L7" s="23" t="n">
        <f aca="false">L2+L6</f>
        <v>95955.5776798228</v>
      </c>
    </row>
    <row r="8" customFormat="false" ht="15" hidden="false" customHeight="true" outlineLevel="0" collapsed="false">
      <c r="A8" s="5" t="s">
        <v>409</v>
      </c>
      <c r="B8" s="19" t="s">
        <v>160</v>
      </c>
      <c r="C8" s="26" t="n">
        <f aca="false">'AMB-P&amp;L'!C26</f>
        <v>3113.71908241928</v>
      </c>
      <c r="D8" s="26" t="n">
        <f aca="false">'AMB-P&amp;L'!D26</f>
        <v>3768.09482514112</v>
      </c>
      <c r="E8" s="26" t="n">
        <f aca="false">'AMB-P&amp;L'!E26</f>
        <v>4440.25692538403</v>
      </c>
      <c r="F8" s="26" t="n">
        <f aca="false">'AMB-P&amp;L'!F26</f>
        <v>5061.2098200347</v>
      </c>
      <c r="G8" s="26" t="n">
        <f aca="false">'AMB-P&amp;L'!G26</f>
        <v>5679.30050798269</v>
      </c>
      <c r="H8" s="26" t="n">
        <f aca="false">'AMB-P&amp;L'!H26</f>
        <v>6248.35752546968</v>
      </c>
      <c r="I8" s="26" t="n">
        <f aca="false">'AMB-P&amp;L'!I26</f>
        <v>6814.29452390932</v>
      </c>
      <c r="J8" s="26" t="n">
        <f aca="false">'AMB-P&amp;L'!J26</f>
        <v>7337.12037625543</v>
      </c>
      <c r="K8" s="26" t="n">
        <f aca="false">'AMB-P&amp;L'!K26</f>
        <v>7865.79854248883</v>
      </c>
      <c r="L8" s="26" t="n">
        <f aca="false">'AMB-P&amp;L'!L26</f>
        <v>8326.02206765922</v>
      </c>
    </row>
    <row r="9" customFormat="false" ht="15" hidden="false" customHeight="true" outlineLevel="0" collapsed="false">
      <c r="A9" s="6" t="s">
        <v>260</v>
      </c>
      <c r="B9" s="19" t="s">
        <v>160</v>
      </c>
      <c r="C9" s="24" t="n">
        <f aca="false">IFERROR(C8/C7,"")</f>
        <v>0.046329507244352</v>
      </c>
      <c r="D9" s="24" t="n">
        <f aca="false">IFERROR(D8/D7,"")</f>
        <v>0.051515741983858</v>
      </c>
      <c r="E9" s="24" t="n">
        <f aca="false">IFERROR(E8/E7,"")</f>
        <v>0.056852580370703</v>
      </c>
      <c r="F9" s="24" t="n">
        <f aca="false">IFERROR(F8/F7,"")</f>
        <v>0.0616007977864875</v>
      </c>
      <c r="G9" s="24" t="n">
        <f aca="false">IFERROR(G8/G7,"")</f>
        <v>0.0665042388285329</v>
      </c>
      <c r="H9" s="24" t="n">
        <f aca="false">IFERROR(H8/H7,"")</f>
        <v>0.0711049984512601</v>
      </c>
      <c r="I9" s="24" t="n">
        <f aca="false">IFERROR(I8/I7,"")</f>
        <v>0.0755841777326939</v>
      </c>
      <c r="J9" s="24" t="n">
        <f aca="false">IFERROR(J8/J7,"")</f>
        <v>0.0795336824574862</v>
      </c>
      <c r="K9" s="24" t="n">
        <f aca="false">IFERROR(K8/K7,"")</f>
        <v>0.0835175637679139</v>
      </c>
      <c r="L9" s="24" t="n">
        <f aca="false">IFERROR(L8/L7,"")</f>
        <v>0.0867695476279748</v>
      </c>
    </row>
    <row r="10" customFormat="false" ht="15" hidden="false" customHeight="true" outlineLevel="0" collapsed="false">
      <c r="A10" s="5" t="s">
        <v>410</v>
      </c>
      <c r="B10" s="19" t="s">
        <v>160</v>
      </c>
      <c r="C10" s="28" t="n">
        <f aca="false">IFERROR(C8/C2,"")</f>
        <v>0.0703991790638118</v>
      </c>
      <c r="D10" s="28" t="n">
        <f aca="false">IFERROR(D8/D2,"")</f>
        <v>0.0751126850081994</v>
      </c>
      <c r="E10" s="28" t="n">
        <f aca="false">IFERROR(E8/E2,"")</f>
        <v>0.0805523880463589</v>
      </c>
      <c r="F10" s="28" t="n">
        <f aca="false">IFERROR(F8/F2,"")</f>
        <v>0.0855182657584111</v>
      </c>
      <c r="G10" s="28" t="n">
        <f aca="false">IFERROR(G8/G2,"")</f>
        <v>0.0909868263916787</v>
      </c>
      <c r="H10" s="28" t="n">
        <f aca="false">IFERROR(H8/H2,"")</f>
        <v>0.0962819746745094</v>
      </c>
      <c r="I10" s="28" t="n">
        <f aca="false">IFERROR(I8/I2,"")</f>
        <v>0.101438817524449</v>
      </c>
      <c r="J10" s="28" t="n">
        <f aca="false">IFERROR(J8/J2,"")</f>
        <v>0.105915870200317</v>
      </c>
      <c r="K10" s="28" t="n">
        <f aca="false">IFERROR(K8/K2,"")</f>
        <v>0.110470463493852</v>
      </c>
      <c r="L10" s="28" t="n">
        <f aca="false">IFERROR(L8/L2,"")</f>
        <v>0.114091140740772</v>
      </c>
    </row>
    <row r="12" customFormat="false" ht="15" hidden="false" customHeight="true" outlineLevel="0" collapsed="false">
      <c r="A12" s="22" t="s">
        <v>411</v>
      </c>
      <c r="B12" s="22"/>
      <c r="C12" s="22"/>
      <c r="D12" s="22"/>
      <c r="E12" s="22"/>
      <c r="F12" s="22"/>
      <c r="G12" s="22"/>
      <c r="H12" s="22"/>
      <c r="I12" s="22"/>
      <c r="J12" s="22"/>
      <c r="K12" s="22"/>
      <c r="L12" s="22"/>
    </row>
    <row r="13" customFormat="false" ht="15" hidden="false" customHeight="true" outlineLevel="0" collapsed="false">
      <c r="A13" s="5" t="s">
        <v>412</v>
      </c>
      <c r="C13" s="26" t="n">
        <f aca="false">L8*(1+'AMB-Assumptions'!$B$42)</f>
        <v>8908.3440510713</v>
      </c>
    </row>
    <row r="14" customFormat="false" ht="15" hidden="false" customHeight="true" outlineLevel="0" collapsed="false">
      <c r="A14" s="5" t="s">
        <v>413</v>
      </c>
      <c r="C14" s="26" t="n">
        <f aca="false">L5</f>
        <v>74609.6839361022</v>
      </c>
    </row>
    <row r="15" customFormat="false" ht="15" hidden="false" customHeight="true" outlineLevel="0" collapsed="false">
      <c r="A15" s="5" t="s">
        <v>414</v>
      </c>
      <c r="C15" s="26" t="n">
        <f aca="false">'AMB-Assumptions'!$B$42*C14</f>
        <v>5218.20129449099</v>
      </c>
    </row>
    <row r="16" customFormat="false" ht="15" hidden="false" customHeight="true" outlineLevel="0" collapsed="false">
      <c r="A16" s="6" t="s">
        <v>415</v>
      </c>
      <c r="C16" s="23" t="n">
        <f aca="false">C13-C15</f>
        <v>3690.14275658032</v>
      </c>
    </row>
    <row r="17" customFormat="false" ht="15" hidden="false" customHeight="true" outlineLevel="0" collapsed="false">
      <c r="A17" s="5" t="s">
        <v>416</v>
      </c>
      <c r="C17" s="28" t="n">
        <f aca="false">IFERROR(C13/C14,"")</f>
        <v>0.119399300212834</v>
      </c>
    </row>
    <row r="18" customFormat="false" ht="15" hidden="false" customHeight="true" outlineLevel="0" collapsed="false">
      <c r="A18" s="5" t="s">
        <v>417</v>
      </c>
      <c r="C18" s="28" t="n">
        <f aca="false">IFERROR('AMB-Assumptions'!$B$42/C17,"")</f>
        <v>0.585765577146008</v>
      </c>
    </row>
    <row r="20" customFormat="false" ht="75" hidden="false" customHeight="true" outlineLevel="0" collapsed="false">
      <c r="A20" s="13" t="s">
        <v>418</v>
      </c>
      <c r="B20" s="13"/>
      <c r="C20" s="13"/>
      <c r="D20" s="13"/>
      <c r="E20" s="13"/>
      <c r="F20" s="13"/>
      <c r="G20" s="13"/>
      <c r="H20" s="13"/>
      <c r="I20" s="13"/>
      <c r="J20" s="13"/>
      <c r="K20" s="13"/>
      <c r="L20" s="13"/>
    </row>
  </sheetData>
  <mergeCells count="2">
    <mergeCell ref="A12:L12"/>
    <mergeCell ref="A20:L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0"/>
    <col collapsed="false" customWidth="true" hidden="false" outlineLevel="0" max="12" min="3" style="1" width="13"/>
  </cols>
  <sheetData>
    <row r="1" customFormat="false" ht="15.75" hidden="false" customHeight="true" outlineLevel="0" collapsed="false">
      <c r="A1" s="25" t="s">
        <v>419</v>
      </c>
    </row>
    <row r="3" customFormat="false" ht="15" hidden="false" customHeight="true" outlineLevel="0" collapsed="false">
      <c r="A3" s="22" t="s">
        <v>420</v>
      </c>
      <c r="B3" s="22"/>
      <c r="C3" s="22"/>
      <c r="D3" s="22"/>
      <c r="E3" s="22"/>
      <c r="F3" s="22"/>
      <c r="G3" s="22"/>
      <c r="H3" s="22"/>
      <c r="I3" s="22"/>
      <c r="J3" s="22"/>
      <c r="K3" s="22"/>
      <c r="L3" s="22"/>
    </row>
    <row r="4" customFormat="false" ht="15" hidden="false" customHeight="true" outlineLevel="0" collapsed="false">
      <c r="A4" s="4" t="s">
        <v>199</v>
      </c>
      <c r="B4" s="4" t="s">
        <v>157</v>
      </c>
      <c r="C4" s="4" t="s">
        <v>421</v>
      </c>
      <c r="D4" s="4" t="s">
        <v>64</v>
      </c>
    </row>
    <row r="5" customFormat="false" ht="15" hidden="false" customHeight="true" outlineLevel="0" collapsed="false">
      <c r="A5" s="5" t="s">
        <v>168</v>
      </c>
      <c r="B5" s="3" t="s">
        <v>160</v>
      </c>
      <c r="C5" s="20" t="n">
        <v>6103.67</v>
      </c>
      <c r="D5" s="20" t="n">
        <v>3298.77</v>
      </c>
    </row>
    <row r="6" customFormat="false" ht="15" hidden="false" customHeight="true" outlineLevel="0" collapsed="false">
      <c r="A6" s="5" t="s">
        <v>165</v>
      </c>
      <c r="B6" s="3" t="s">
        <v>160</v>
      </c>
      <c r="C6" s="20" t="n">
        <v>2297.04</v>
      </c>
      <c r="D6" s="20" t="n">
        <v>3570.41</v>
      </c>
    </row>
    <row r="7" customFormat="false" ht="15" hidden="false" customHeight="true" outlineLevel="0" collapsed="false">
      <c r="A7" s="5" t="s">
        <v>164</v>
      </c>
      <c r="B7" s="3" t="s">
        <v>160</v>
      </c>
      <c r="C7" s="20" t="n">
        <v>215.94</v>
      </c>
      <c r="D7" s="20" t="n">
        <v>223.61</v>
      </c>
    </row>
    <row r="8" customFormat="false" ht="15" hidden="false" customHeight="true" outlineLevel="0" collapsed="false">
      <c r="A8" s="5" t="s">
        <v>162</v>
      </c>
      <c r="B8" s="3" t="s">
        <v>160</v>
      </c>
      <c r="C8" s="20" t="n">
        <v>-2654.25</v>
      </c>
      <c r="D8" s="20" t="n">
        <v>-834.34</v>
      </c>
    </row>
    <row r="10" customFormat="false" ht="60" hidden="false" customHeight="true" outlineLevel="0" collapsed="false">
      <c r="A10" s="29" t="s">
        <v>422</v>
      </c>
      <c r="B10" s="29"/>
      <c r="C10" s="29"/>
      <c r="D10" s="29"/>
      <c r="E10" s="29"/>
      <c r="F10" s="29"/>
      <c r="G10" s="29"/>
      <c r="H10" s="29"/>
      <c r="I10" s="29"/>
      <c r="J10" s="29"/>
      <c r="K10" s="29"/>
      <c r="L10" s="29"/>
    </row>
    <row r="14" customFormat="false" ht="15" hidden="false" customHeight="true" outlineLevel="0" collapsed="false">
      <c r="A14" s="22" t="s">
        <v>423</v>
      </c>
      <c r="B14" s="22"/>
      <c r="C14" s="22"/>
      <c r="D14" s="22"/>
      <c r="E14" s="22"/>
      <c r="F14" s="22"/>
      <c r="G14" s="22"/>
      <c r="H14" s="22"/>
      <c r="I14" s="22"/>
      <c r="J14" s="22"/>
      <c r="K14" s="22"/>
      <c r="L14" s="22"/>
    </row>
    <row r="15" customFormat="false" ht="15" hidden="false" customHeight="true" outlineLevel="0" collapsed="false">
      <c r="A15" s="4" t="s">
        <v>199</v>
      </c>
      <c r="B15" s="4" t="s">
        <v>157</v>
      </c>
      <c r="C15" s="4" t="s">
        <v>338</v>
      </c>
      <c r="D15" s="4" t="s">
        <v>339</v>
      </c>
      <c r="E15" s="4" t="s">
        <v>340</v>
      </c>
      <c r="F15" s="4" t="s">
        <v>341</v>
      </c>
      <c r="G15" s="4" t="s">
        <v>342</v>
      </c>
      <c r="H15" s="4" t="s">
        <v>343</v>
      </c>
      <c r="I15" s="4" t="s">
        <v>344</v>
      </c>
      <c r="J15" s="4" t="s">
        <v>345</v>
      </c>
      <c r="K15" s="4" t="s">
        <v>346</v>
      </c>
      <c r="L15" s="4" t="s">
        <v>347</v>
      </c>
    </row>
    <row r="16" customFormat="false" ht="15" hidden="false" customHeight="true" outlineLevel="0" collapsed="false">
      <c r="A16" s="5" t="s">
        <v>214</v>
      </c>
      <c r="B16" s="3" t="s">
        <v>160</v>
      </c>
      <c r="C16" s="35" t="n">
        <f aca="false">'AMB-P&amp;L'!C17</f>
        <v>7710.45636218099</v>
      </c>
      <c r="D16" s="35" t="n">
        <f aca="false">'AMB-P&amp;L'!D17</f>
        <v>9060.95531038443</v>
      </c>
      <c r="E16" s="35" t="n">
        <f aca="false">'AMB-P&amp;L'!E17</f>
        <v>10357.1395096907</v>
      </c>
      <c r="F16" s="35" t="n">
        <f aca="false">'AMB-P&amp;L'!F17</f>
        <v>11513.0549972495</v>
      </c>
      <c r="G16" s="35" t="n">
        <f aca="false">'AMB-P&amp;L'!G17</f>
        <v>12599.0560774123</v>
      </c>
      <c r="H16" s="35" t="n">
        <f aca="false">'AMB-P&amp;L'!H17</f>
        <v>13558.7297552743</v>
      </c>
      <c r="I16" s="35" t="n">
        <f aca="false">'AMB-P&amp;L'!I17</f>
        <v>14498.2958612716</v>
      </c>
      <c r="J16" s="35" t="n">
        <f aca="false">'AMB-P&amp;L'!J17</f>
        <v>15365.5882409304</v>
      </c>
      <c r="K16" s="35" t="n">
        <f aca="false">'AMB-P&amp;L'!K17</f>
        <v>16227.2111254419</v>
      </c>
      <c r="L16" s="35" t="n">
        <f aca="false">'AMB-P&amp;L'!L17</f>
        <v>16984.9453544057</v>
      </c>
    </row>
    <row r="17" customFormat="false" ht="15" hidden="false" customHeight="true" outlineLevel="0" collapsed="false">
      <c r="A17" s="5" t="s">
        <v>424</v>
      </c>
      <c r="B17" s="3" t="s">
        <v>160</v>
      </c>
      <c r="C17" s="35" t="n">
        <f aca="false">-'AMB-P&amp;L'!C22</f>
        <v>-3549.5104</v>
      </c>
      <c r="D17" s="35" t="n">
        <f aca="false">-'AMB-P&amp;L'!D22</f>
        <v>-4025.549568</v>
      </c>
      <c r="E17" s="35" t="n">
        <f aca="false">-'AMB-P&amp;L'!E22</f>
        <v>-4423.50560256</v>
      </c>
      <c r="F17" s="35" t="n">
        <f aca="false">-'AMB-P&amp;L'!F22</f>
        <v>-4749.6251543552</v>
      </c>
      <c r="G17" s="35" t="n">
        <f aca="false">-'AMB-P&amp;L'!G22</f>
        <v>-5009.65514200678</v>
      </c>
      <c r="H17" s="35" t="n">
        <f aca="false">-'AMB-P&amp;L'!H22</f>
        <v>-5208.88273064624</v>
      </c>
      <c r="I17" s="35" t="n">
        <f aca="false">-'AMB-P&amp;L'!I22</f>
        <v>-5392.17211219454</v>
      </c>
      <c r="J17" s="35" t="n">
        <f aca="false">-'AMB-P&amp;L'!J22</f>
        <v>-5560.79834321898</v>
      </c>
      <c r="K17" s="35" t="n">
        <f aca="false">-'AMB-P&amp;L'!K22</f>
        <v>-5715.93447576146</v>
      </c>
      <c r="L17" s="35" t="n">
        <f aca="false">-'AMB-P&amp;L'!L22</f>
        <v>-5858.65971770054</v>
      </c>
    </row>
    <row r="18" customFormat="false" ht="15" hidden="false" customHeight="true" outlineLevel="0" collapsed="false">
      <c r="A18" s="6" t="s">
        <v>190</v>
      </c>
      <c r="B18" s="3" t="s">
        <v>160</v>
      </c>
      <c r="C18" s="23" t="n">
        <f aca="false">'AMB-P&amp;L'!C25</f>
        <v>4160.94596218099</v>
      </c>
      <c r="D18" s="23" t="n">
        <f aca="false">'AMB-P&amp;L'!D25</f>
        <v>5035.40574238443</v>
      </c>
      <c r="E18" s="23" t="n">
        <f aca="false">'AMB-P&amp;L'!E25</f>
        <v>5933.63390713068</v>
      </c>
      <c r="F18" s="23" t="n">
        <f aca="false">'AMB-P&amp;L'!F25</f>
        <v>6763.42984289435</v>
      </c>
      <c r="G18" s="23" t="n">
        <f aca="false">'AMB-P&amp;L'!G25</f>
        <v>7589.40093540556</v>
      </c>
      <c r="H18" s="23" t="n">
        <f aca="false">'AMB-P&amp;L'!H25</f>
        <v>8349.84702462807</v>
      </c>
      <c r="I18" s="23" t="n">
        <f aca="false">'AMB-P&amp;L'!I25</f>
        <v>9106.12374907703</v>
      </c>
      <c r="J18" s="23" t="n">
        <f aca="false">'AMB-P&amp;L'!J25</f>
        <v>9804.78989771145</v>
      </c>
      <c r="K18" s="23" t="n">
        <f aca="false">'AMB-P&amp;L'!K25</f>
        <v>10511.2766496804</v>
      </c>
      <c r="L18" s="23" t="n">
        <f aca="false">'AMB-P&amp;L'!L25</f>
        <v>11126.2856367052</v>
      </c>
    </row>
    <row r="19" customFormat="false" ht="15" hidden="false" customHeight="true" outlineLevel="0" collapsed="false">
      <c r="A19" s="6" t="s">
        <v>259</v>
      </c>
      <c r="B19" s="3" t="s">
        <v>160</v>
      </c>
      <c r="C19" s="23" t="n">
        <f aca="false">'AMB-P&amp;L'!C26</f>
        <v>3113.71908241928</v>
      </c>
      <c r="D19" s="23" t="n">
        <f aca="false">'AMB-P&amp;L'!D26</f>
        <v>3768.09482514112</v>
      </c>
      <c r="E19" s="23" t="n">
        <f aca="false">'AMB-P&amp;L'!E26</f>
        <v>4440.25692538403</v>
      </c>
      <c r="F19" s="23" t="n">
        <f aca="false">'AMB-P&amp;L'!F26</f>
        <v>5061.2098200347</v>
      </c>
      <c r="G19" s="23" t="n">
        <f aca="false">'AMB-P&amp;L'!G26</f>
        <v>5679.30050798269</v>
      </c>
      <c r="H19" s="23" t="n">
        <f aca="false">'AMB-P&amp;L'!H26</f>
        <v>6248.35752546968</v>
      </c>
      <c r="I19" s="23" t="n">
        <f aca="false">'AMB-P&amp;L'!I26</f>
        <v>6814.29452390932</v>
      </c>
      <c r="J19" s="23" t="n">
        <f aca="false">'AMB-P&amp;L'!J26</f>
        <v>7337.12037625543</v>
      </c>
      <c r="K19" s="23" t="n">
        <f aca="false">'AMB-P&amp;L'!K26</f>
        <v>7865.79854248883</v>
      </c>
      <c r="L19" s="23" t="n">
        <f aca="false">'AMB-P&amp;L'!L26</f>
        <v>8326.02206765922</v>
      </c>
    </row>
    <row r="20" customFormat="false" ht="15" hidden="false" customHeight="true" outlineLevel="0" collapsed="false">
      <c r="A20" s="5" t="s">
        <v>425</v>
      </c>
      <c r="B20" s="3" t="s">
        <v>160</v>
      </c>
      <c r="C20" s="35" t="n">
        <f aca="false">'AMB-P&amp;L'!C22</f>
        <v>3549.5104</v>
      </c>
      <c r="D20" s="35" t="n">
        <f aca="false">'AMB-P&amp;L'!D22</f>
        <v>4025.549568</v>
      </c>
      <c r="E20" s="35" t="n">
        <f aca="false">'AMB-P&amp;L'!E22</f>
        <v>4423.50560256</v>
      </c>
      <c r="F20" s="35" t="n">
        <f aca="false">'AMB-P&amp;L'!F22</f>
        <v>4749.6251543552</v>
      </c>
      <c r="G20" s="35" t="n">
        <f aca="false">'AMB-P&amp;L'!G22</f>
        <v>5009.65514200678</v>
      </c>
      <c r="H20" s="35" t="n">
        <f aca="false">'AMB-P&amp;L'!H22</f>
        <v>5208.88273064624</v>
      </c>
      <c r="I20" s="35" t="n">
        <f aca="false">'AMB-P&amp;L'!I22</f>
        <v>5392.17211219454</v>
      </c>
      <c r="J20" s="35" t="n">
        <f aca="false">'AMB-P&amp;L'!J22</f>
        <v>5560.79834321898</v>
      </c>
      <c r="K20" s="35" t="n">
        <f aca="false">'AMB-P&amp;L'!K22</f>
        <v>5715.93447576146</v>
      </c>
      <c r="L20" s="35" t="n">
        <f aca="false">'AMB-P&amp;L'!L22</f>
        <v>5858.65971770054</v>
      </c>
    </row>
    <row r="21" customFormat="false" ht="15" hidden="false" customHeight="true" outlineLevel="0" collapsed="false">
      <c r="A21" s="5" t="s">
        <v>426</v>
      </c>
      <c r="B21" s="3" t="s">
        <v>160</v>
      </c>
      <c r="C21" s="35" t="n">
        <f aca="false">-'AMB-P&amp;L'!C23</f>
        <v>-9500</v>
      </c>
      <c r="D21" s="35" t="n">
        <f aca="false">-'AMB-P&amp;L'!D23</f>
        <v>-9000</v>
      </c>
      <c r="E21" s="35" t="n">
        <f aca="false">-'AMB-P&amp;L'!E23</f>
        <v>-8500</v>
      </c>
      <c r="F21" s="35" t="n">
        <f aca="false">-'AMB-P&amp;L'!F23</f>
        <v>-8000</v>
      </c>
      <c r="G21" s="35" t="n">
        <f aca="false">-'AMB-P&amp;L'!G23</f>
        <v>-7500</v>
      </c>
      <c r="H21" s="35" t="n">
        <f aca="false">-'AMB-P&amp;L'!H23</f>
        <v>-7500</v>
      </c>
      <c r="I21" s="35" t="n">
        <f aca="false">-'AMB-P&amp;L'!I23</f>
        <v>-7500</v>
      </c>
      <c r="J21" s="35" t="n">
        <f aca="false">-'AMB-P&amp;L'!J23</f>
        <v>-7500</v>
      </c>
      <c r="K21" s="35" t="n">
        <f aca="false">-'AMB-P&amp;L'!K23</f>
        <v>-7500</v>
      </c>
      <c r="L21" s="35" t="n">
        <f aca="false">-'AMB-P&amp;L'!L23</f>
        <v>-7500</v>
      </c>
    </row>
    <row r="22" customFormat="false" ht="15" hidden="false" customHeight="true" outlineLevel="0" collapsed="false">
      <c r="A22" s="5" t="s">
        <v>427</v>
      </c>
      <c r="B22" s="3" t="s">
        <v>160</v>
      </c>
      <c r="C22" s="35" t="n">
        <f aca="false">-'AMB-P&amp;L'!C28</f>
        <v>14.07785042688</v>
      </c>
      <c r="D22" s="35" t="n">
        <f aca="false">-'AMB-P&amp;L'!D28</f>
        <v>17.7439188299648</v>
      </c>
      <c r="E22" s="35" t="n">
        <f aca="false">-'AMB-P&amp;L'!E28</f>
        <v>16.2996609354376</v>
      </c>
      <c r="F22" s="35" t="n">
        <f aca="false">-'AMB-P&amp;L'!F28</f>
        <v>14.236080699281</v>
      </c>
      <c r="G22" s="35" t="n">
        <f aca="false">-'AMB-P&amp;L'!G28</f>
        <v>12.8352416179771</v>
      </c>
      <c r="H22" s="35" t="n">
        <f aca="false">-'AMB-P&amp;L'!H28</f>
        <v>11.1592181470676</v>
      </c>
      <c r="I22" s="35" t="n">
        <f aca="false">-'AMB-P&amp;L'!I28</f>
        <v>11.1300738244167</v>
      </c>
      <c r="J22" s="35" t="n">
        <f aca="false">-'AMB-P&amp;L'!J28</f>
        <v>9.56928851185396</v>
      </c>
      <c r="K22" s="35" t="n">
        <f aca="false">-'AMB-P&amp;L'!K28</f>
        <v>9.85745844113203</v>
      </c>
      <c r="L22" s="35" t="n">
        <f aca="false">-'AMB-P&amp;L'!L28</f>
        <v>8.59402602002331</v>
      </c>
    </row>
    <row r="23" customFormat="false" ht="15" hidden="false" customHeight="true" outlineLevel="0" collapsed="false">
      <c r="A23" s="6" t="s">
        <v>428</v>
      </c>
      <c r="B23" s="3" t="s">
        <v>160</v>
      </c>
      <c r="C23" s="27" t="n">
        <f aca="false">'AMB-P&amp;L'!C29</f>
        <v>-2822.69266715384</v>
      </c>
      <c r="D23" s="27" t="n">
        <f aca="false">'AMB-P&amp;L'!D29</f>
        <v>-1188.61168802892</v>
      </c>
      <c r="E23" s="27" t="n">
        <f aca="false">'AMB-P&amp;L'!E29</f>
        <v>380.06218887947</v>
      </c>
      <c r="F23" s="27" t="n">
        <f aca="false">'AMB-P&amp;L'!F29</f>
        <v>1825.07105508918</v>
      </c>
      <c r="G23" s="27" t="n">
        <f aca="false">'AMB-P&amp;L'!G29</f>
        <v>3201.79089160745</v>
      </c>
      <c r="H23" s="27" t="n">
        <f aca="false">'AMB-P&amp;L'!H29</f>
        <v>3968.39947426299</v>
      </c>
      <c r="I23" s="27" t="n">
        <f aca="false">'AMB-P&amp;L'!I29</f>
        <v>4717.59670992828</v>
      </c>
      <c r="J23" s="27" t="n">
        <f aca="false">'AMB-P&amp;L'!J29</f>
        <v>5407.48800798626</v>
      </c>
      <c r="K23" s="27" t="n">
        <f aca="false">'AMB-P&amp;L'!K29</f>
        <v>6091.59047669142</v>
      </c>
      <c r="L23" s="27" t="n">
        <f aca="false">'AMB-P&amp;L'!L29</f>
        <v>6693.27581137978</v>
      </c>
    </row>
    <row r="25" customFormat="false" ht="30" hidden="false" customHeight="true" outlineLevel="0" collapsed="false">
      <c r="A25" s="13" t="s">
        <v>429</v>
      </c>
      <c r="B25" s="13"/>
      <c r="C25" s="13"/>
      <c r="D25" s="13"/>
      <c r="E25" s="13"/>
      <c r="F25" s="13"/>
      <c r="G25" s="13"/>
      <c r="H25" s="13"/>
      <c r="I25" s="13"/>
      <c r="J25" s="13"/>
      <c r="K25" s="13"/>
      <c r="L25" s="13"/>
    </row>
  </sheetData>
  <mergeCells count="4">
    <mergeCell ref="A3:L3"/>
    <mergeCell ref="A10:L10"/>
    <mergeCell ref="A14:L14"/>
    <mergeCell ref="A25:L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58"/>
  </cols>
  <sheetData>
    <row r="1" customFormat="false" ht="15.75" hidden="false" customHeight="true" outlineLevel="0" collapsed="false">
      <c r="A1" s="25" t="s">
        <v>430</v>
      </c>
    </row>
    <row r="3" customFormat="false" ht="15" hidden="false" customHeight="true" outlineLevel="0" collapsed="false">
      <c r="A3" s="5" t="s">
        <v>431</v>
      </c>
      <c r="B3" s="55" t="n">
        <f aca="false">'AMB-Assumptions'!$B$29</f>
        <v>0.0498</v>
      </c>
      <c r="C3" s="39" t="s">
        <v>432</v>
      </c>
    </row>
    <row r="4" customFormat="false" ht="15" hidden="false" customHeight="true" outlineLevel="0" collapsed="false">
      <c r="A4" s="5" t="s">
        <v>317</v>
      </c>
      <c r="B4" s="55" t="n">
        <f aca="false">'AMB-Assumptions'!$B$30</f>
        <v>0.0708</v>
      </c>
    </row>
    <row r="5" customFormat="false" ht="15" hidden="false" customHeight="true" outlineLevel="0" collapsed="false">
      <c r="A5" s="5" t="s">
        <v>433</v>
      </c>
      <c r="B5" s="56" t="n">
        <f aca="false">'AMB-Assumptions'!$B$33</f>
        <v>0.909843461856</v>
      </c>
      <c r="C5" s="39" t="s">
        <v>434</v>
      </c>
    </row>
    <row r="6" customFormat="false" ht="15" hidden="false" customHeight="true" outlineLevel="0" collapsed="false">
      <c r="A6" s="5" t="s">
        <v>435</v>
      </c>
      <c r="B6" s="55" t="n">
        <f aca="false">B3+B5*B4</f>
        <v>0.114216917099405</v>
      </c>
    </row>
    <row r="7" customFormat="false" ht="45" hidden="false" customHeight="true" outlineLevel="0" collapsed="false">
      <c r="A7" s="5" t="s">
        <v>436</v>
      </c>
      <c r="B7" s="42"/>
      <c r="C7" s="3" t="s">
        <v>437</v>
      </c>
    </row>
    <row r="8" customFormat="false" ht="15" hidden="false" customHeight="true" outlineLevel="0" collapsed="false">
      <c r="A8" s="6" t="s">
        <v>438</v>
      </c>
      <c r="B8" s="57" t="n">
        <f aca="false">IF(B7="",B6,B7)</f>
        <v>0.114216917099405</v>
      </c>
    </row>
    <row r="9" customFormat="false" ht="15" hidden="false" customHeight="true" outlineLevel="0" collapsed="false">
      <c r="A9" s="5" t="s">
        <v>439</v>
      </c>
      <c r="B9" s="55" t="n">
        <f aca="false">'AMB-Assumptions'!$B$34</f>
        <v>0.08</v>
      </c>
    </row>
    <row r="10" customFormat="false" ht="15" hidden="false" customHeight="true" outlineLevel="0" collapsed="false">
      <c r="A10" s="5" t="s">
        <v>325</v>
      </c>
      <c r="B10" s="55" t="n">
        <f aca="false">'AMB-Assumptions'!$B$35</f>
        <v>0.25168</v>
      </c>
    </row>
    <row r="11" customFormat="false" ht="15" hidden="false" customHeight="true" outlineLevel="0" collapsed="false">
      <c r="A11" s="5" t="s">
        <v>440</v>
      </c>
      <c r="B11" s="55" t="n">
        <f aca="false">'AMB-Assumptions'!$B$16/('AMB-Assumptions'!$B$16+'AMB-Assumptions'!$B$14)</f>
        <v>0.00866268451083838</v>
      </c>
    </row>
    <row r="12" customFormat="false" ht="15" hidden="false" customHeight="true" outlineLevel="0" collapsed="false">
      <c r="A12" s="5" t="s">
        <v>441</v>
      </c>
      <c r="B12" s="55" t="n">
        <f aca="false">1-B11</f>
        <v>0.991337315489162</v>
      </c>
    </row>
    <row r="13" customFormat="false" ht="15" hidden="false" customHeight="true" outlineLevel="0" collapsed="false">
      <c r="A13" s="6" t="s">
        <v>442</v>
      </c>
      <c r="B13" s="57" t="n">
        <f aca="false">B12*B8+B11*B9*(1-B10)</f>
        <v>0.113746088786624</v>
      </c>
    </row>
    <row r="14" customFormat="false" ht="15" hidden="false" customHeight="true" outlineLevel="0" collapsed="false">
      <c r="A14" s="6" t="s">
        <v>443</v>
      </c>
      <c r="B14" s="57" t="n">
        <f aca="false">B12*B8+B11*B9</f>
        <v>0.113920506741639</v>
      </c>
    </row>
    <row r="15" customFormat="false" ht="15" hidden="false" customHeight="true" outlineLevel="0" collapsed="false">
      <c r="A15" s="5" t="s">
        <v>444</v>
      </c>
      <c r="B15" s="55" t="n">
        <f aca="false">B13+B9*B10*B11</f>
        <v>0.113920506741639</v>
      </c>
    </row>
    <row r="17" customFormat="false" ht="60" hidden="false" customHeight="true" outlineLevel="0" collapsed="false">
      <c r="A17" s="13" t="s">
        <v>445</v>
      </c>
      <c r="B17" s="13"/>
      <c r="C17" s="13"/>
    </row>
  </sheetData>
  <mergeCells count="1">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
    <col collapsed="false" customWidth="true" hidden="false" outlineLevel="0" max="7" min="6" style="1" width="14"/>
    <col collapsed="false" customWidth="true" hidden="false" outlineLevel="0" max="8" min="8" style="1" width="52"/>
  </cols>
  <sheetData>
    <row r="1" customFormat="false" ht="15.75" hidden="false" customHeight="true" outlineLevel="0" collapsed="false">
      <c r="A1" s="25" t="s">
        <v>446</v>
      </c>
    </row>
    <row r="2" customFormat="false" ht="15" hidden="false" customHeight="true" outlineLevel="0" collapsed="false">
      <c r="A2" s="3" t="s">
        <v>447</v>
      </c>
    </row>
    <row r="4" customFormat="false" ht="15" hidden="false" customHeight="true" outlineLevel="0" collapsed="false">
      <c r="A4" s="8" t="s">
        <v>448</v>
      </c>
      <c r="B4" s="8"/>
      <c r="C4" s="8"/>
      <c r="D4" s="8"/>
      <c r="E4" s="8"/>
      <c r="F4" s="8"/>
      <c r="G4" s="8"/>
      <c r="H4" s="8"/>
    </row>
    <row r="5" customFormat="false" ht="15" hidden="false" customHeight="true" outlineLevel="0" collapsed="false">
      <c r="A5" s="14" t="s">
        <v>140</v>
      </c>
      <c r="B5" s="14" t="s">
        <v>449</v>
      </c>
      <c r="C5" s="14"/>
      <c r="D5" s="14"/>
      <c r="E5" s="14"/>
      <c r="F5" s="14"/>
      <c r="G5" s="14"/>
      <c r="H5" s="14" t="s">
        <v>450</v>
      </c>
    </row>
    <row r="6" customFormat="false" ht="60" hidden="false" customHeight="true" outlineLevel="0" collapsed="false">
      <c r="A6" s="6" t="s">
        <v>318</v>
      </c>
      <c r="B6" s="58" t="n">
        <v>0.9</v>
      </c>
      <c r="H6" s="16" t="s">
        <v>451</v>
      </c>
    </row>
    <row r="7" customFormat="false" ht="30" hidden="false" customHeight="true" outlineLevel="0" collapsed="false">
      <c r="A7" s="6" t="s">
        <v>320</v>
      </c>
      <c r="B7" s="59" t="n">
        <v>0.008738</v>
      </c>
      <c r="H7" s="16" t="s">
        <v>452</v>
      </c>
    </row>
    <row r="8" customFormat="false" ht="30" hidden="false" customHeight="true" outlineLevel="0" collapsed="false">
      <c r="A8" s="6" t="s">
        <v>453</v>
      </c>
      <c r="B8" s="59" t="n">
        <v>0.25168</v>
      </c>
      <c r="H8" s="16" t="s">
        <v>454</v>
      </c>
    </row>
    <row r="9" customFormat="false" ht="30" hidden="false" customHeight="true" outlineLevel="0" collapsed="false">
      <c r="A9" s="6" t="s">
        <v>455</v>
      </c>
      <c r="B9" s="60" t="n">
        <f aca="false">B6*(1+(1-B8)*B7)</f>
        <v>0.905884938144</v>
      </c>
      <c r="H9" s="16" t="s">
        <v>456</v>
      </c>
    </row>
    <row r="11" customFormat="false" ht="15" hidden="false" customHeight="true" outlineLevel="0" collapsed="false">
      <c r="A11" s="8" t="s">
        <v>457</v>
      </c>
      <c r="B11" s="8"/>
      <c r="C11" s="8"/>
      <c r="D11" s="8"/>
      <c r="E11" s="8"/>
      <c r="F11" s="8"/>
      <c r="G11" s="8"/>
      <c r="H11" s="8"/>
    </row>
    <row r="12" customFormat="false" ht="15" hidden="false" customHeight="true" outlineLevel="0" collapsed="false">
      <c r="A12" s="6" t="s">
        <v>458</v>
      </c>
      <c r="B12" s="60" t="n">
        <f aca="false">IFERROR(SLOPE(G25:G84,F25:F84),"paste prices below")</f>
        <v>1.15064095694941</v>
      </c>
    </row>
    <row r="13" customFormat="false" ht="15" hidden="false" customHeight="true" outlineLevel="0" collapsed="false">
      <c r="A13" s="6" t="s">
        <v>459</v>
      </c>
      <c r="B13" s="61" t="n">
        <f aca="false">IFERROR(RSQ(G25:G84,F25:F84),"")</f>
        <v>0.267212113444568</v>
      </c>
    </row>
    <row r="14" customFormat="false" ht="15" hidden="false" customHeight="true" outlineLevel="0" collapsed="false">
      <c r="A14" s="6" t="s">
        <v>460</v>
      </c>
      <c r="B14" s="62" t="n">
        <f aca="false">COUNT(F25:F84)</f>
        <v>60</v>
      </c>
    </row>
    <row r="15" customFormat="false" ht="15" hidden="false" customHeight="true" outlineLevel="0" collapsed="false">
      <c r="A15" s="6" t="s">
        <v>461</v>
      </c>
      <c r="B15" s="60" t="n">
        <f aca="false">IFERROR(0.67*B12+0.33,"")</f>
        <v>1.10092944115611</v>
      </c>
    </row>
    <row r="16" customFormat="false" ht="15" hidden="false" customHeight="true" outlineLevel="0" collapsed="false">
      <c r="A16" s="6" t="s">
        <v>462</v>
      </c>
      <c r="B16" s="63" t="n">
        <f aca="false">IFERROR(B12-B9,"")</f>
        <v>0.24475601880541</v>
      </c>
    </row>
    <row r="18" customFormat="false" ht="90" hidden="false" customHeight="true" outlineLevel="0" collapsed="false">
      <c r="A18" s="29" t="s">
        <v>463</v>
      </c>
      <c r="B18" s="29"/>
      <c r="C18" s="29"/>
      <c r="D18" s="29"/>
      <c r="E18" s="29"/>
      <c r="F18" s="29"/>
      <c r="G18" s="29"/>
      <c r="H18" s="29"/>
    </row>
    <row r="24" customFormat="false" ht="26.25" hidden="false" customHeight="true" outlineLevel="0" collapsed="false">
      <c r="A24" s="14"/>
      <c r="B24" s="14" t="s">
        <v>464</v>
      </c>
      <c r="C24" s="14" t="s">
        <v>465</v>
      </c>
      <c r="D24" s="14" t="s">
        <v>466</v>
      </c>
      <c r="E24" s="14"/>
      <c r="F24" s="14" t="s">
        <v>467</v>
      </c>
      <c r="G24" s="14" t="s">
        <v>468</v>
      </c>
      <c r="H24" s="14" t="s">
        <v>469</v>
      </c>
    </row>
    <row r="25" customFormat="false" ht="15" hidden="false" customHeight="true" outlineLevel="0" collapsed="false">
      <c r="B25" s="64" t="s">
        <v>470</v>
      </c>
      <c r="C25" s="40" t="n">
        <v>20528.05</v>
      </c>
      <c r="D25" s="40" t="n">
        <v>401.25</v>
      </c>
      <c r="F25" s="33" t="n">
        <f aca="false">IFERROR(C25/C26-1,"")</f>
        <v>-0.113904134571597</v>
      </c>
      <c r="G25" s="33" t="n">
        <f aca="false">IFERROR(D25/D26-1,"")</f>
        <v>-0.198141486810552</v>
      </c>
    </row>
    <row r="26" customFormat="false" ht="15" hidden="false" customHeight="true" outlineLevel="0" collapsed="false">
      <c r="B26" s="64" t="s">
        <v>471</v>
      </c>
      <c r="C26" s="40" t="n">
        <v>23166.85</v>
      </c>
      <c r="D26" s="40" t="n">
        <v>500.4</v>
      </c>
      <c r="F26" s="33" t="n">
        <f aca="false">IFERROR(C26/C27-1,"")</f>
        <v>0.00378474403691587</v>
      </c>
      <c r="G26" s="33" t="n">
        <f aca="false">IFERROR(D26/D27-1,"")</f>
        <v>-0.0191120258747427</v>
      </c>
    </row>
    <row r="27" customFormat="false" ht="15" hidden="false" customHeight="true" outlineLevel="0" collapsed="false">
      <c r="B27" s="64" t="s">
        <v>472</v>
      </c>
      <c r="C27" s="40" t="n">
        <v>23079.5</v>
      </c>
      <c r="D27" s="40" t="n">
        <v>510.15</v>
      </c>
      <c r="F27" s="33" t="n">
        <f aca="false">IFERROR(C27/C28-1,"")</f>
        <v>-0.033179663658204</v>
      </c>
      <c r="G27" s="33" t="n">
        <f aca="false">IFERROR(D27/D28-1,"")</f>
        <v>-0.0830412510110543</v>
      </c>
    </row>
    <row r="28" customFormat="false" ht="15" hidden="false" customHeight="true" outlineLevel="0" collapsed="false">
      <c r="B28" s="64" t="s">
        <v>473</v>
      </c>
      <c r="C28" s="40" t="n">
        <v>23871.55</v>
      </c>
      <c r="D28" s="40" t="n">
        <v>556.35</v>
      </c>
      <c r="F28" s="33" t="n">
        <f aca="false">IFERROR(C28/C29-1,"")</f>
        <v>-0.00257591964300641</v>
      </c>
      <c r="G28" s="33" t="n">
        <f aca="false">IFERROR(D28/D29-1,"")</f>
        <v>0.0111777535441657</v>
      </c>
    </row>
    <row r="29" customFormat="false" ht="15" hidden="false" customHeight="true" outlineLevel="0" collapsed="false">
      <c r="B29" s="64" t="s">
        <v>474</v>
      </c>
      <c r="C29" s="40" t="n">
        <v>23933.2</v>
      </c>
      <c r="D29" s="40" t="n">
        <v>550.2</v>
      </c>
      <c r="F29" s="33" t="n">
        <f aca="false">IFERROR(C29/C30-1,"")</f>
        <v>0.00939672042647954</v>
      </c>
      <c r="G29" s="33" t="n">
        <f aca="false">IFERROR(D29/D30-1,"")</f>
        <v>-0.0268836222143614</v>
      </c>
    </row>
    <row r="30" customFormat="false" ht="15" hidden="false" customHeight="true" outlineLevel="0" collapsed="false">
      <c r="B30" s="64" t="s">
        <v>475</v>
      </c>
      <c r="C30" s="40" t="n">
        <v>23710.4</v>
      </c>
      <c r="D30" s="40" t="n">
        <v>565.4</v>
      </c>
      <c r="F30" s="33" t="n">
        <f aca="false">IFERROR(C30/C31-1,"")</f>
        <v>0.0429442995324205</v>
      </c>
      <c r="G30" s="33" t="n">
        <f aca="false">IFERROR(D30/D31-1,"")</f>
        <v>-0.00798315641722969</v>
      </c>
    </row>
    <row r="31" customFormat="false" ht="15" hidden="false" customHeight="true" outlineLevel="0" collapsed="false">
      <c r="B31" s="64" t="s">
        <v>476</v>
      </c>
      <c r="C31" s="40" t="n">
        <v>22734.1</v>
      </c>
      <c r="D31" s="40" t="n">
        <v>569.95</v>
      </c>
      <c r="F31" s="33" t="n">
        <f aca="false">IFERROR(C31/C32-1,"")</f>
        <v>0.0120709880046921</v>
      </c>
      <c r="G31" s="33" t="n">
        <f aca="false">IFERROR(D31/D32-1,"")</f>
        <v>0.0119850852272727</v>
      </c>
    </row>
    <row r="32" customFormat="false" ht="15" hidden="false" customHeight="true" outlineLevel="0" collapsed="false">
      <c r="B32" s="64" t="s">
        <v>477</v>
      </c>
      <c r="C32" s="40" t="n">
        <v>22462.95</v>
      </c>
      <c r="D32" s="40" t="n">
        <v>563.2</v>
      </c>
      <c r="F32" s="33" t="n">
        <f aca="false">IFERROR(C32/C33-1,"")</f>
        <v>-0.0197251139539907</v>
      </c>
      <c r="G32" s="33" t="n">
        <f aca="false">IFERROR(D32/D33-1,"")</f>
        <v>-0.0497722287835329</v>
      </c>
    </row>
    <row r="33" customFormat="false" ht="15" hidden="false" customHeight="true" outlineLevel="0" collapsed="false">
      <c r="B33" s="64" t="s">
        <v>478</v>
      </c>
      <c r="C33" s="40" t="n">
        <v>22914.95</v>
      </c>
      <c r="D33" s="40" t="n">
        <v>592.7</v>
      </c>
      <c r="F33" s="33" t="n">
        <f aca="false">IFERROR(C33/C34-1,"")</f>
        <v>-0.0297346848906729</v>
      </c>
      <c r="G33" s="33" t="n">
        <f aca="false">IFERROR(D33/D34-1,"")</f>
        <v>0.0264092129188673</v>
      </c>
    </row>
    <row r="34" customFormat="false" ht="15" hidden="false" customHeight="true" outlineLevel="0" collapsed="false">
      <c r="B34" s="64" t="s">
        <v>479</v>
      </c>
      <c r="C34" s="40" t="n">
        <v>23617.2</v>
      </c>
      <c r="D34" s="40" t="n">
        <v>577.45</v>
      </c>
      <c r="F34" s="33" t="n">
        <f aca="false">IFERROR(C34/C35-1,"")</f>
        <v>0.0357535210804338</v>
      </c>
      <c r="G34" s="33" t="n">
        <f aca="false">IFERROR(D34/D35-1,"")</f>
        <v>0.0432700993676605</v>
      </c>
    </row>
    <row r="35" customFormat="false" ht="15" hidden="false" customHeight="true" outlineLevel="0" collapsed="false">
      <c r="B35" s="64" t="s">
        <v>480</v>
      </c>
      <c r="C35" s="40" t="n">
        <v>22801.95</v>
      </c>
      <c r="D35" s="40" t="n">
        <v>553.5</v>
      </c>
      <c r="F35" s="33" t="n">
        <f aca="false">IFERROR(C35/C36-1,"")</f>
        <v>0.0350385042249111</v>
      </c>
      <c r="G35" s="33" t="n">
        <f aca="false">IFERROR(D35/D36-1,"")</f>
        <v>0.0255697609783212</v>
      </c>
    </row>
    <row r="36" customFormat="false" ht="15" hidden="false" customHeight="true" outlineLevel="0" collapsed="false">
      <c r="B36" s="64" t="s">
        <v>481</v>
      </c>
      <c r="C36" s="40" t="n">
        <v>22030.05</v>
      </c>
      <c r="D36" s="40" t="n">
        <v>539.7</v>
      </c>
      <c r="F36" s="33" t="n">
        <f aca="false">IFERROR(C36/C37-1,"")</f>
        <v>0.0323577582470109</v>
      </c>
      <c r="G36" s="33" t="n">
        <f aca="false">IFERROR(D36/D37-1,"")</f>
        <v>0.00250766230147681</v>
      </c>
    </row>
    <row r="37" customFormat="false" ht="15" hidden="false" customHeight="true" outlineLevel="0" collapsed="false">
      <c r="B37" s="64" t="s">
        <v>482</v>
      </c>
      <c r="C37" s="40" t="n">
        <v>21339.55</v>
      </c>
      <c r="D37" s="40" t="n">
        <v>538.35</v>
      </c>
      <c r="F37" s="33" t="n">
        <f aca="false">IFERROR(C37/C38-1,"")</f>
        <v>0.0733694148655242</v>
      </c>
      <c r="G37" s="33" t="n">
        <f aca="false">IFERROR(D37/D38-1,"")</f>
        <v>0.157866437251317</v>
      </c>
    </row>
    <row r="38" customFormat="false" ht="15" hidden="false" customHeight="true" outlineLevel="0" collapsed="false">
      <c r="B38" s="64" t="s">
        <v>483</v>
      </c>
      <c r="C38" s="40" t="n">
        <v>19880.9</v>
      </c>
      <c r="D38" s="40" t="n">
        <v>464.95</v>
      </c>
      <c r="F38" s="33" t="n">
        <f aca="false">IFERROR(C38/C39-1,"")</f>
        <v>-0.078773359776469</v>
      </c>
      <c r="G38" s="33" t="n">
        <f aca="false">IFERROR(D38/D39-1,"")</f>
        <v>-0.093311232449298</v>
      </c>
    </row>
    <row r="39" customFormat="false" ht="15" hidden="false" customHeight="true" outlineLevel="0" collapsed="false">
      <c r="B39" s="64" t="s">
        <v>484</v>
      </c>
      <c r="C39" s="40" t="n">
        <v>21580.9</v>
      </c>
      <c r="D39" s="40" t="n">
        <v>512.8</v>
      </c>
      <c r="F39" s="33" t="n">
        <f aca="false">IFERROR(C39/C40-1,"")</f>
        <v>-0.0355077451129365</v>
      </c>
      <c r="G39" s="33" t="n">
        <f aca="false">IFERROR(D39/D40-1,"")</f>
        <v>-0.0429264650989175</v>
      </c>
    </row>
    <row r="40" customFormat="false" ht="15" hidden="false" customHeight="true" outlineLevel="0" collapsed="false">
      <c r="B40" s="64" t="s">
        <v>485</v>
      </c>
      <c r="C40" s="40" t="n">
        <v>22375.4</v>
      </c>
      <c r="D40" s="40" t="n">
        <v>535.8</v>
      </c>
      <c r="F40" s="33" t="n">
        <f aca="false">IFERROR(C40/C41-1,"")</f>
        <v>-0.0137347379556574</v>
      </c>
      <c r="G40" s="33" t="n">
        <f aca="false">IFERROR(D40/D41-1,"")</f>
        <v>0.00809031044214481</v>
      </c>
    </row>
    <row r="41" customFormat="false" ht="15" hidden="false" customHeight="true" outlineLevel="0" collapsed="false">
      <c r="B41" s="64" t="s">
        <v>486</v>
      </c>
      <c r="C41" s="40" t="n">
        <v>22687</v>
      </c>
      <c r="D41" s="40" t="n">
        <v>531.5</v>
      </c>
      <c r="F41" s="33" t="n">
        <f aca="false">IFERROR(C41/C42-1,"")</f>
        <v>-0.00010357282161011</v>
      </c>
      <c r="G41" s="33" t="n">
        <f aca="false">IFERROR(D41/D42-1,"")</f>
        <v>-0.0844888467832228</v>
      </c>
    </row>
    <row r="42" customFormat="false" ht="15" hidden="false" customHeight="true" outlineLevel="0" collapsed="false">
      <c r="B42" s="64" t="s">
        <v>487</v>
      </c>
      <c r="C42" s="40" t="n">
        <v>22689.35</v>
      </c>
      <c r="D42" s="40" t="n">
        <v>580.55</v>
      </c>
      <c r="F42" s="33" t="n">
        <f aca="false">IFERROR(C42/C43-1,"")</f>
        <v>-0.0641714648672728</v>
      </c>
      <c r="G42" s="33" t="n">
        <f aca="false">IFERROR(D42/D43-1,"")</f>
        <v>-0.082206940162833</v>
      </c>
    </row>
    <row r="43" customFormat="false" ht="15" hidden="false" customHeight="true" outlineLevel="0" collapsed="false">
      <c r="B43" s="64" t="s">
        <v>488</v>
      </c>
      <c r="C43" s="40" t="n">
        <v>24245.2</v>
      </c>
      <c r="D43" s="40" t="n">
        <v>632.55</v>
      </c>
      <c r="F43" s="33" t="n">
        <f aca="false">IFERROR(C43/C44-1,"")</f>
        <v>0.021515048736968</v>
      </c>
      <c r="G43" s="33" t="n">
        <f aca="false">IFERROR(D43/D44-1,"")</f>
        <v>0.0251195202981931</v>
      </c>
    </row>
    <row r="44" customFormat="false" ht="15" hidden="false" customHeight="true" outlineLevel="0" collapsed="false">
      <c r="B44" s="64" t="s">
        <v>489</v>
      </c>
      <c r="C44" s="40" t="n">
        <v>23734.55</v>
      </c>
      <c r="D44" s="40" t="n">
        <v>617.05</v>
      </c>
      <c r="F44" s="33" t="n">
        <f aca="false">IFERROR(C44/C45-1,"")</f>
        <v>0.00865886412701644</v>
      </c>
      <c r="G44" s="33" t="n">
        <f aca="false">IFERROR(D44/D45-1,"")</f>
        <v>-0.0925068019707332</v>
      </c>
    </row>
    <row r="45" customFormat="false" ht="15" hidden="false" customHeight="true" outlineLevel="0" collapsed="false">
      <c r="B45" s="64" t="s">
        <v>490</v>
      </c>
      <c r="C45" s="40" t="n">
        <v>23530.8</v>
      </c>
      <c r="D45" s="40" t="n">
        <v>679.95</v>
      </c>
      <c r="F45" s="33" t="n">
        <f aca="false">IFERROR(C45/C46-1,"")</f>
        <v>0.0430457851833135</v>
      </c>
      <c r="G45" s="33" t="n">
        <f aca="false">IFERROR(D45/D46-1,"")</f>
        <v>0.0144722118612459</v>
      </c>
    </row>
    <row r="46" customFormat="false" ht="15" hidden="false" customHeight="true" outlineLevel="0" collapsed="false">
      <c r="B46" s="64" t="s">
        <v>491</v>
      </c>
      <c r="C46" s="40" t="n">
        <v>22559.7</v>
      </c>
      <c r="D46" s="40" t="n">
        <v>670.25</v>
      </c>
      <c r="F46" s="33" t="n">
        <f aca="false">IFERROR(C46/C47-1,"")</f>
        <v>0.0690129031952349</v>
      </c>
      <c r="G46" s="33" t="n">
        <f aca="false">IFERROR(D46/D47-1,"")</f>
        <v>0.0570932891727782</v>
      </c>
    </row>
    <row r="47" customFormat="false" ht="15" hidden="false" customHeight="true" outlineLevel="0" collapsed="false">
      <c r="B47" s="64" t="s">
        <v>492</v>
      </c>
      <c r="C47" s="40" t="n">
        <v>21103.3</v>
      </c>
      <c r="D47" s="40" t="n">
        <v>634.05</v>
      </c>
      <c r="F47" s="33" t="n">
        <f aca="false">IFERROR(C47/C48-1,"")</f>
        <v>0.00505305469300654</v>
      </c>
      <c r="G47" s="33" t="n">
        <f aca="false">IFERROR(D47/D48-1,"")</f>
        <v>0.022826262300371</v>
      </c>
    </row>
    <row r="48" customFormat="false" ht="15" hidden="false" customHeight="true" outlineLevel="0" collapsed="false">
      <c r="B48" s="64" t="s">
        <v>493</v>
      </c>
      <c r="C48" s="40" t="n">
        <v>20997.2</v>
      </c>
      <c r="D48" s="40" t="n">
        <v>619.9</v>
      </c>
      <c r="F48" s="33" t="n">
        <f aca="false">IFERROR(C48/C49-1,"")</f>
        <v>0.0366351273626706</v>
      </c>
      <c r="G48" s="33" t="n">
        <f aca="false">IFERROR(D48/D49-1,"")</f>
        <v>0.0123295500939005</v>
      </c>
    </row>
    <row r="49" customFormat="false" ht="15" hidden="false" customHeight="true" outlineLevel="0" collapsed="false">
      <c r="B49" s="64" t="s">
        <v>494</v>
      </c>
      <c r="C49" s="40" t="n">
        <v>20255.15</v>
      </c>
      <c r="D49" s="40" t="n">
        <v>612.35</v>
      </c>
      <c r="F49" s="33" t="n">
        <f aca="false">IFERROR(C49/C50-1,"")</f>
        <v>0.00821799846192528</v>
      </c>
      <c r="G49" s="33" t="n">
        <f aca="false">IFERROR(D49/D50-1,"")</f>
        <v>0.0106453210100677</v>
      </c>
    </row>
    <row r="50" customFormat="false" ht="15" hidden="false" customHeight="true" outlineLevel="0" collapsed="false">
      <c r="B50" s="64" t="s">
        <v>495</v>
      </c>
      <c r="C50" s="40" t="n">
        <v>20090.05</v>
      </c>
      <c r="D50" s="40" t="n">
        <v>605.9</v>
      </c>
      <c r="F50" s="33" t="n">
        <f aca="false">IFERROR(C50/C51-1,"")</f>
        <v>0.0145413870246085</v>
      </c>
      <c r="G50" s="33" t="n">
        <f aca="false">IFERROR(D50/D51-1,"")</f>
        <v>0.0813849723362485</v>
      </c>
    </row>
    <row r="51" customFormat="false" ht="15" hidden="false" customHeight="true" outlineLevel="0" collapsed="false">
      <c r="B51" s="64" t="s">
        <v>496</v>
      </c>
      <c r="C51" s="40" t="n">
        <v>19802.1</v>
      </c>
      <c r="D51" s="40" t="n">
        <v>560.3</v>
      </c>
      <c r="F51" s="33" t="n">
        <f aca="false">IFERROR(C51/C52-1,"")</f>
        <v>0.0191953842551011</v>
      </c>
      <c r="G51" s="33" t="n">
        <f aca="false">IFERROR(D51/D52-1,"")</f>
        <v>0.0756383182952582</v>
      </c>
    </row>
    <row r="52" customFormat="false" ht="15" hidden="false" customHeight="true" outlineLevel="0" collapsed="false">
      <c r="B52" s="64" t="s">
        <v>497</v>
      </c>
      <c r="C52" s="40" t="n">
        <v>19429.15</v>
      </c>
      <c r="D52" s="40" t="n">
        <v>520.9</v>
      </c>
      <c r="F52" s="33" t="n">
        <f aca="false">IFERROR(C52/C53-1,"")</f>
        <v>0.0801203027582353</v>
      </c>
      <c r="G52" s="33" t="n">
        <f aca="false">IFERROR(D52/D53-1,"")</f>
        <v>0.185885031303358</v>
      </c>
    </row>
    <row r="53" customFormat="false" ht="15" hidden="false" customHeight="true" outlineLevel="0" collapsed="false">
      <c r="B53" s="64" t="s">
        <v>498</v>
      </c>
      <c r="C53" s="40" t="n">
        <v>17987.95</v>
      </c>
      <c r="D53" s="40" t="n">
        <v>439.25</v>
      </c>
      <c r="F53" s="33" t="n">
        <f aca="false">IFERROR(C53/C54-1,"")</f>
        <v>0.070641208016142</v>
      </c>
      <c r="G53" s="33" t="n">
        <f aca="false">IFERROR(D53/D54-1,"")</f>
        <v>0.0348686535516551</v>
      </c>
    </row>
    <row r="54" customFormat="false" ht="15" hidden="false" customHeight="true" outlineLevel="0" collapsed="false">
      <c r="B54" s="64" t="s">
        <v>499</v>
      </c>
      <c r="C54" s="40" t="n">
        <v>16801.1</v>
      </c>
      <c r="D54" s="40" t="n">
        <v>424.45</v>
      </c>
      <c r="F54" s="33" t="n">
        <f aca="false">IFERROR(C54/C55-1,"")</f>
        <v>-0.0284225622520615</v>
      </c>
      <c r="G54" s="33" t="n">
        <f aca="false">IFERROR(D54/D55-1,"")</f>
        <v>-0.000823917137476538</v>
      </c>
    </row>
    <row r="55" customFormat="false" ht="15" hidden="false" customHeight="true" outlineLevel="0" collapsed="false">
      <c r="B55" s="64" t="s">
        <v>500</v>
      </c>
      <c r="C55" s="40" t="n">
        <v>17292.6</v>
      </c>
      <c r="D55" s="40" t="n">
        <v>424.8</v>
      </c>
      <c r="F55" s="33" t="n">
        <f aca="false">IFERROR(C55/C56-1,"")</f>
        <v>0.021761609047346</v>
      </c>
      <c r="G55" s="33" t="n">
        <f aca="false">IFERROR(D55/D56-1,"")</f>
        <v>-0.00840336134453779</v>
      </c>
    </row>
    <row r="56" customFormat="false" ht="15" hidden="false" customHeight="true" outlineLevel="0" collapsed="false">
      <c r="B56" s="64" t="s">
        <v>501</v>
      </c>
      <c r="C56" s="40" t="n">
        <v>16924.3</v>
      </c>
      <c r="D56" s="40" t="n">
        <v>428.4</v>
      </c>
      <c r="F56" s="33" t="n">
        <f aca="false">IFERROR(C56/C57-1,"")</f>
        <v>-0.00789612521249783</v>
      </c>
      <c r="G56" s="33" t="n">
        <f aca="false">IFERROR(D56/D57-1,"")</f>
        <v>-0.0747300215982721</v>
      </c>
    </row>
    <row r="57" customFormat="false" ht="15" hidden="false" customHeight="true" outlineLevel="0" collapsed="false">
      <c r="B57" s="64" t="s">
        <v>502</v>
      </c>
      <c r="C57" s="40" t="n">
        <v>17059</v>
      </c>
      <c r="D57" s="40" t="n">
        <v>463</v>
      </c>
      <c r="F57" s="33" t="n">
        <f aca="false">IFERROR(C57/C58-1,"")</f>
        <v>0.0382836275106513</v>
      </c>
      <c r="G57" s="33" t="n">
        <f aca="false">IFERROR(D57/D58-1,"")</f>
        <v>0.0871096501526181</v>
      </c>
    </row>
    <row r="58" customFormat="false" ht="15" hidden="false" customHeight="true" outlineLevel="0" collapsed="false">
      <c r="B58" s="64" t="s">
        <v>503</v>
      </c>
      <c r="C58" s="40" t="n">
        <v>16430</v>
      </c>
      <c r="D58" s="40" t="n">
        <v>425.9</v>
      </c>
      <c r="F58" s="33" t="n">
        <f aca="false">IFERROR(C58/C59-1,"")</f>
        <v>0.0420895067992693</v>
      </c>
      <c r="G58" s="33" t="n">
        <f aca="false">IFERROR(D58/D59-1,"")</f>
        <v>0.00542965061378653</v>
      </c>
    </row>
    <row r="59" customFormat="false" ht="15" hidden="false" customHeight="true" outlineLevel="0" collapsed="false">
      <c r="B59" s="64" t="s">
        <v>504</v>
      </c>
      <c r="C59" s="40" t="n">
        <v>15766.4</v>
      </c>
      <c r="D59" s="40" t="n">
        <v>423.6</v>
      </c>
      <c r="F59" s="33" t="n">
        <f aca="false">IFERROR(C59/C60-1,"")</f>
        <v>0.0359307601078875</v>
      </c>
      <c r="G59" s="33" t="n">
        <f aca="false">IFERROR(D59/D60-1,"")</f>
        <v>0.0683480453972258</v>
      </c>
    </row>
    <row r="60" customFormat="false" ht="15" hidden="false" customHeight="true" outlineLevel="0" collapsed="false">
      <c r="B60" s="64" t="s">
        <v>505</v>
      </c>
      <c r="C60" s="40" t="n">
        <v>15219.55</v>
      </c>
      <c r="D60" s="40" t="n">
        <v>396.5</v>
      </c>
      <c r="F60" s="33" t="n">
        <f aca="false">IFERROR(C60/C61-1,"")</f>
        <v>0.0454531404019136</v>
      </c>
      <c r="G60" s="33" t="n">
        <f aca="false">IFERROR(D60/D61-1,"")</f>
        <v>0.084666940227055</v>
      </c>
    </row>
    <row r="61" customFormat="false" ht="15" hidden="false" customHeight="true" outlineLevel="0" collapsed="false">
      <c r="B61" s="64" t="s">
        <v>506</v>
      </c>
      <c r="C61" s="40" t="n">
        <v>14557.85</v>
      </c>
      <c r="D61" s="40" t="n">
        <v>365.55</v>
      </c>
      <c r="F61" s="33" t="n">
        <f aca="false">IFERROR(C61/C62-1,"")</f>
        <v>0.0026930693069307</v>
      </c>
      <c r="G61" s="33" t="n">
        <f aca="false">IFERROR(D61/D62-1,"")</f>
        <v>0.068547208418591</v>
      </c>
    </row>
    <row r="62" customFormat="false" ht="15" hidden="false" customHeight="true" outlineLevel="0" collapsed="false">
      <c r="B62" s="64" t="s">
        <v>507</v>
      </c>
      <c r="C62" s="40" t="n">
        <v>14518.75</v>
      </c>
      <c r="D62" s="40" t="n">
        <v>342.1</v>
      </c>
      <c r="F62" s="33" t="n">
        <f aca="false">IFERROR(C62/C63-1,"")</f>
        <v>-0.0279033175990091</v>
      </c>
      <c r="G62" s="33" t="n">
        <f aca="false">IFERROR(D62/D63-1,"")</f>
        <v>-0.147308075772682</v>
      </c>
    </row>
    <row r="63" customFormat="false" ht="15" hidden="false" customHeight="true" outlineLevel="0" collapsed="false">
      <c r="B63" s="64" t="s">
        <v>508</v>
      </c>
      <c r="C63" s="40" t="n">
        <v>14935.5</v>
      </c>
      <c r="D63" s="40" t="n">
        <v>401.2</v>
      </c>
      <c r="F63" s="33" t="n">
        <f aca="false">IFERROR(C63/C64-1,"")</f>
        <v>-0.0332290105736026</v>
      </c>
      <c r="G63" s="33" t="n">
        <f aca="false">IFERROR(D63/D64-1,"")</f>
        <v>-0.234497233352414</v>
      </c>
    </row>
    <row r="64" customFormat="false" ht="15" hidden="false" customHeight="true" outlineLevel="0" collapsed="false">
      <c r="B64" s="64" t="s">
        <v>509</v>
      </c>
      <c r="C64" s="40" t="n">
        <v>15448.85</v>
      </c>
      <c r="D64" s="40" t="n">
        <v>524.1</v>
      </c>
      <c r="F64" s="33" t="n">
        <f aca="false">IFERROR(C64/C65-1,"")</f>
        <v>-0.0311862110917055</v>
      </c>
      <c r="G64" s="33" t="n">
        <f aca="false">IFERROR(D64/D65-1,"")</f>
        <v>-0.0817345597897503</v>
      </c>
    </row>
    <row r="65" customFormat="false" ht="15" hidden="false" customHeight="true" outlineLevel="0" collapsed="false">
      <c r="B65" s="64" t="s">
        <v>510</v>
      </c>
      <c r="C65" s="40" t="n">
        <v>15946.15</v>
      </c>
      <c r="D65" s="40" t="n">
        <v>570.75</v>
      </c>
      <c r="F65" s="33" t="n">
        <f aca="false">IFERROR(C65/C66-1,"")</f>
        <v>0.0338530860995849</v>
      </c>
      <c r="G65" s="33" t="n">
        <f aca="false">IFERROR(D65/D66-1,"")</f>
        <v>0.0709259780467211</v>
      </c>
    </row>
    <row r="66" customFormat="false" ht="15" hidden="false" customHeight="true" outlineLevel="0" collapsed="false">
      <c r="B66" s="64" t="s">
        <v>511</v>
      </c>
      <c r="C66" s="40" t="n">
        <v>15424</v>
      </c>
      <c r="D66" s="40" t="n">
        <v>532.95</v>
      </c>
      <c r="F66" s="33" t="n">
        <f aca="false">IFERROR(C66/C67-1,"")</f>
        <v>0.0400995323463267</v>
      </c>
      <c r="G66" s="33" t="n">
        <f aca="false">IFERROR(D66/D67-1,"")</f>
        <v>0.0336501163692786</v>
      </c>
    </row>
    <row r="67" customFormat="false" ht="15" hidden="false" customHeight="true" outlineLevel="0" collapsed="false">
      <c r="B67" s="64" t="s">
        <v>512</v>
      </c>
      <c r="C67" s="40" t="n">
        <v>14829.35</v>
      </c>
      <c r="D67" s="40" t="n">
        <v>515.6</v>
      </c>
      <c r="F67" s="33" t="n">
        <f aca="false">IFERROR(C67/C68-1,"")</f>
        <v>-0.0323457345979294</v>
      </c>
      <c r="G67" s="33" t="n">
        <f aca="false">IFERROR(D67/D68-1,"")</f>
        <v>0.253738601823708</v>
      </c>
    </row>
    <row r="68" customFormat="false" ht="15" hidden="false" customHeight="true" outlineLevel="0" collapsed="false">
      <c r="B68" s="64" t="s">
        <v>513</v>
      </c>
      <c r="C68" s="40" t="n">
        <v>15325.05</v>
      </c>
      <c r="D68" s="40" t="n">
        <v>411.25</v>
      </c>
      <c r="F68" s="33" t="n">
        <f aca="false">IFERROR(C68/C69-1,"")</f>
        <v>0.0449622076075729</v>
      </c>
      <c r="G68" s="33" t="n">
        <f aca="false">IFERROR(D68/D69-1,"")</f>
        <v>0.0972518676627534</v>
      </c>
    </row>
    <row r="69" customFormat="false" ht="15" hidden="false" customHeight="true" outlineLevel="0" collapsed="false">
      <c r="B69" s="64" t="s">
        <v>514</v>
      </c>
      <c r="C69" s="40" t="n">
        <v>14665.65</v>
      </c>
      <c r="D69" s="40" t="n">
        <v>374.8</v>
      </c>
      <c r="F69" s="33" t="n">
        <f aca="false">IFERROR(C69/C70-1,"")</f>
        <v>0.0954692979671412</v>
      </c>
      <c r="G69" s="33" t="n">
        <f aca="false">IFERROR(D69/D70-1,"")</f>
        <v>0.0325068870523417</v>
      </c>
    </row>
    <row r="70" customFormat="false" ht="15" hidden="false" customHeight="true" outlineLevel="0" collapsed="false">
      <c r="B70" s="64" t="s">
        <v>515</v>
      </c>
      <c r="C70" s="40" t="n">
        <v>13387.55</v>
      </c>
      <c r="D70" s="40" t="n">
        <v>363</v>
      </c>
      <c r="F70" s="33" t="n">
        <f aca="false">IFERROR(C70/C71-1,"")</f>
        <v>-0.0518463695855408</v>
      </c>
      <c r="G70" s="33" t="n">
        <f aca="false">IFERROR(D70/D71-1,"")</f>
        <v>-0.0173253925284245</v>
      </c>
    </row>
    <row r="71" customFormat="false" ht="15" hidden="false" customHeight="true" outlineLevel="0" collapsed="false">
      <c r="B71" s="64" t="s">
        <v>516</v>
      </c>
      <c r="C71" s="40" t="n">
        <v>14119.6</v>
      </c>
      <c r="D71" s="40" t="n">
        <v>369.4</v>
      </c>
      <c r="F71" s="33" t="n">
        <f aca="false">IFERROR(C71/C72-1,"")</f>
        <v>-0.0448984837672111</v>
      </c>
      <c r="G71" s="33" t="n">
        <f aca="false">IFERROR(D71/D72-1,"")</f>
        <v>-0.00752283718430957</v>
      </c>
    </row>
    <row r="72" customFormat="false" ht="15" hidden="false" customHeight="true" outlineLevel="0" collapsed="false">
      <c r="B72" s="64" t="s">
        <v>517</v>
      </c>
      <c r="C72" s="40" t="n">
        <v>14783.35</v>
      </c>
      <c r="D72" s="40" t="n">
        <v>372.2</v>
      </c>
      <c r="F72" s="33" t="n">
        <f aca="false">IFERROR(C72/C73-1,"")</f>
        <v>-0.0074624861526067</v>
      </c>
      <c r="G72" s="33" t="n">
        <f aca="false">IFERROR(D72/D73-1,"")</f>
        <v>0.243776106934002</v>
      </c>
    </row>
    <row r="73" customFormat="false" ht="15" hidden="false" customHeight="true" outlineLevel="0" collapsed="false">
      <c r="B73" s="64" t="s">
        <v>518</v>
      </c>
      <c r="C73" s="40" t="n">
        <v>14894.5</v>
      </c>
      <c r="D73" s="40" t="n">
        <v>299.25</v>
      </c>
      <c r="F73" s="33" t="n">
        <f aca="false">IFERROR(C73/C74-1,"")</f>
        <v>0.0409946917622719</v>
      </c>
      <c r="G73" s="33" t="n">
        <f aca="false">IFERROR(D73/D74-1,"")</f>
        <v>-0.0477326968973747</v>
      </c>
    </row>
    <row r="74" customFormat="false" ht="15" hidden="false" customHeight="true" outlineLevel="0" collapsed="false">
      <c r="B74" s="64" t="s">
        <v>519</v>
      </c>
      <c r="C74" s="40" t="n">
        <v>14307.95</v>
      </c>
      <c r="D74" s="40" t="n">
        <v>314.25</v>
      </c>
      <c r="F74" s="33" t="n">
        <f aca="false">IFERROR(C74/C75-1,"")</f>
        <v>-0.0411153071584867</v>
      </c>
      <c r="G74" s="33" t="n">
        <f aca="false">IFERROR(D74/D75-1,"")</f>
        <v>-0.139394769272902</v>
      </c>
    </row>
    <row r="75" customFormat="false" ht="15" hidden="false" customHeight="true" outlineLevel="0" collapsed="false">
      <c r="B75" s="64" t="s">
        <v>520</v>
      </c>
      <c r="C75" s="40" t="n">
        <v>14921.45</v>
      </c>
      <c r="D75" s="40" t="n">
        <v>365.15</v>
      </c>
      <c r="F75" s="33" t="n">
        <f aca="false">IFERROR(C75/C76-1,"")</f>
        <v>-0.0049845960976781</v>
      </c>
      <c r="G75" s="33" t="n">
        <f aca="false">IFERROR(D75/D76-1,"")</f>
        <v>-0.0327152317880796</v>
      </c>
    </row>
    <row r="76" customFormat="false" ht="15" hidden="false" customHeight="true" outlineLevel="0" collapsed="false">
      <c r="B76" s="64" t="s">
        <v>521</v>
      </c>
      <c r="C76" s="40" t="n">
        <v>14996.2</v>
      </c>
      <c r="D76" s="40" t="n">
        <v>377.5</v>
      </c>
      <c r="F76" s="33" t="n">
        <f aca="false">IFERROR(C76/C77-1,"")</f>
        <v>0.0237467018469657</v>
      </c>
      <c r="G76" s="33" t="n">
        <f aca="false">IFERROR(D76/D77-1,"")</f>
        <v>0.00774159103043237</v>
      </c>
    </row>
    <row r="77" customFormat="false" ht="15" hidden="false" customHeight="true" outlineLevel="0" collapsed="false">
      <c r="B77" s="64" t="s">
        <v>522</v>
      </c>
      <c r="C77" s="40" t="n">
        <v>14648.35</v>
      </c>
      <c r="D77" s="40" t="n">
        <v>374.6</v>
      </c>
      <c r="F77" s="33" t="n">
        <f aca="false">IFERROR(C77/C78-1,"")</f>
        <v>-0.0290682645208756</v>
      </c>
      <c r="G77" s="33" t="n">
        <f aca="false">IFERROR(D77/D78-1,"")</f>
        <v>-0.0746047430830039</v>
      </c>
    </row>
    <row r="78" customFormat="false" ht="15" hidden="false" customHeight="true" outlineLevel="0" collapsed="false">
      <c r="B78" s="64" t="s">
        <v>523</v>
      </c>
      <c r="C78" s="40" t="n">
        <v>15086.9</v>
      </c>
      <c r="D78" s="40" t="n">
        <v>404.8</v>
      </c>
      <c r="F78" s="33" t="n">
        <f aca="false">IFERROR(C78/C79-1,"")</f>
        <v>0.0022753468658343</v>
      </c>
      <c r="G78" s="33" t="n">
        <f aca="false">IFERROR(D78/D79-1,"")</f>
        <v>0.0114942528735633</v>
      </c>
    </row>
    <row r="79" customFormat="false" ht="15" hidden="false" customHeight="true" outlineLevel="0" collapsed="false">
      <c r="B79" s="64" t="s">
        <v>524</v>
      </c>
      <c r="C79" s="40" t="n">
        <v>15052.65</v>
      </c>
      <c r="D79" s="40" t="n">
        <v>400.2</v>
      </c>
      <c r="F79" s="33" t="n">
        <f aca="false">IFERROR(C79/C80-1,"")</f>
        <v>0.0341270550086219</v>
      </c>
      <c r="G79" s="33" t="n">
        <f aca="false">IFERROR(D79/D80-1,"")</f>
        <v>-0.0495190594941219</v>
      </c>
    </row>
    <row r="80" customFormat="false" ht="15" hidden="false" customHeight="true" outlineLevel="0" collapsed="false">
      <c r="B80" s="64" t="s">
        <v>525</v>
      </c>
      <c r="C80" s="40" t="n">
        <v>14555.9</v>
      </c>
      <c r="D80" s="40" t="n">
        <v>421.05</v>
      </c>
      <c r="F80" s="33" t="n">
        <f aca="false">IFERROR(C80/C81-1,"")</f>
        <v>0.0652542217831202</v>
      </c>
      <c r="G80" s="33" t="n">
        <f aca="false">IFERROR(D80/D81-1,"")</f>
        <v>0.0240788033564394</v>
      </c>
    </row>
    <row r="81" customFormat="false" ht="15" hidden="false" customHeight="true" outlineLevel="0" collapsed="false">
      <c r="B81" s="64" t="s">
        <v>526</v>
      </c>
      <c r="C81" s="40" t="n">
        <v>13664.25</v>
      </c>
      <c r="D81" s="40" t="n">
        <v>411.15</v>
      </c>
      <c r="F81" s="33" t="n">
        <f aca="false">IFERROR(C81/C82-1,"")</f>
        <v>0.0141536566086888</v>
      </c>
      <c r="G81" s="33" t="n">
        <f aca="false">IFERROR(D81/D82-1,"")</f>
        <v>0.206957287538529</v>
      </c>
    </row>
    <row r="82" customFormat="false" ht="15" hidden="false" customHeight="true" outlineLevel="0" collapsed="false">
      <c r="B82" s="64" t="s">
        <v>527</v>
      </c>
      <c r="C82" s="40" t="n">
        <v>13473.55</v>
      </c>
      <c r="D82" s="40" t="n">
        <v>340.65</v>
      </c>
      <c r="F82" s="33" t="n">
        <f aca="false">IFERROR(C82/C83-1,"")</f>
        <v>0.0186899635953985</v>
      </c>
      <c r="G82" s="33" t="n">
        <f aca="false">IFERROR(D82/D83-1,"")</f>
        <v>0.0423806609547122</v>
      </c>
    </row>
    <row r="83" customFormat="false" ht="15" hidden="false" customHeight="true" outlineLevel="0" collapsed="false">
      <c r="B83" s="64" t="s">
        <v>528</v>
      </c>
      <c r="C83" s="40" t="n">
        <v>13226.35</v>
      </c>
      <c r="D83" s="40" t="n">
        <v>326.8</v>
      </c>
      <c r="F83" s="33" t="n">
        <f aca="false">IFERROR(C83/C84-1,"")</f>
        <v>0.0697165641542015</v>
      </c>
      <c r="G83" s="33" t="n">
        <f aca="false">IFERROR(D83/D84-1,"")</f>
        <v>0.0574340721566089</v>
      </c>
    </row>
    <row r="84" customFormat="false" ht="15" hidden="false" customHeight="true" outlineLevel="0" collapsed="false">
      <c r="B84" s="64" t="s">
        <v>529</v>
      </c>
      <c r="C84" s="40" t="n">
        <v>12364.35</v>
      </c>
      <c r="D84" s="40" t="n">
        <v>309.05</v>
      </c>
      <c r="F84" s="33" t="n">
        <f aca="false">IFERROR(C84/C85-1,"")</f>
        <v>0.00411330469314652</v>
      </c>
      <c r="G84" s="33" t="n">
        <f aca="false">IFERROR(D84/D85-1,"")</f>
        <v>0.000647563542172547</v>
      </c>
    </row>
    <row r="85" customFormat="false" ht="15" hidden="false" customHeight="true" outlineLevel="0" collapsed="false">
      <c r="B85" s="64" t="s">
        <v>530</v>
      </c>
      <c r="C85" s="40" t="n">
        <v>12313.7</v>
      </c>
      <c r="D85" s="40" t="n">
        <v>308.85</v>
      </c>
    </row>
    <row r="87" customFormat="false" ht="60" hidden="false" customHeight="true" outlineLevel="0" collapsed="false">
      <c r="A87" s="13" t="s">
        <v>531</v>
      </c>
      <c r="B87" s="13"/>
      <c r="C87" s="13"/>
      <c r="D87" s="13"/>
      <c r="E87" s="13"/>
      <c r="F87" s="13"/>
      <c r="G87" s="13"/>
      <c r="H87" s="13"/>
    </row>
    <row r="89" customFormat="false" ht="15" hidden="false" customHeight="true" outlineLevel="0" collapsed="false">
      <c r="A89" s="8" t="s">
        <v>532</v>
      </c>
      <c r="B89" s="8"/>
      <c r="C89" s="8"/>
      <c r="D89" s="8"/>
      <c r="E89" s="8"/>
      <c r="F89" s="8"/>
      <c r="G89" s="8"/>
      <c r="H89" s="8"/>
    </row>
    <row r="90" customFormat="false" ht="15" hidden="false" customHeight="true" outlineLevel="0" collapsed="false">
      <c r="A90" s="6" t="s">
        <v>533</v>
      </c>
      <c r="B90" s="60" t="n">
        <v>0.9059</v>
      </c>
    </row>
    <row r="91" customFormat="false" ht="15" hidden="false" customHeight="true" outlineLevel="0" collapsed="false">
      <c r="A91" s="6" t="s">
        <v>534</v>
      </c>
      <c r="B91" s="45" t="n">
        <v>1.1506</v>
      </c>
    </row>
    <row r="92" customFormat="false" ht="15" hidden="false" customHeight="true" outlineLevel="0" collapsed="false">
      <c r="A92" s="6" t="s">
        <v>535</v>
      </c>
      <c r="B92" s="65" t="n">
        <v>0.267</v>
      </c>
    </row>
    <row r="93" customFormat="false" ht="15" hidden="false" customHeight="true" outlineLevel="0" collapsed="false">
      <c r="A93" s="6" t="s">
        <v>536</v>
      </c>
      <c r="B93" s="66" t="n">
        <v>0.2447</v>
      </c>
    </row>
    <row r="95" customFormat="false" ht="120" hidden="false" customHeight="true" outlineLevel="0" collapsed="false">
      <c r="A95" s="29" t="s">
        <v>537</v>
      </c>
      <c r="B95" s="29"/>
      <c r="C95" s="29"/>
      <c r="D95" s="29"/>
      <c r="E95" s="29"/>
      <c r="F95" s="29"/>
      <c r="G95" s="29"/>
      <c r="H95" s="29"/>
    </row>
  </sheetData>
  <mergeCells count="6">
    <mergeCell ref="A4:H4"/>
    <mergeCell ref="A11:H11"/>
    <mergeCell ref="A18:H18"/>
    <mergeCell ref="A87:H87"/>
    <mergeCell ref="A89:H89"/>
    <mergeCell ref="A95:H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13" min="3" style="1" width="13"/>
  </cols>
  <sheetData>
    <row r="1" customFormat="false" ht="15" hidden="false" customHeight="true" outlineLevel="0" collapsed="false">
      <c r="A1" s="4" t="s">
        <v>199</v>
      </c>
      <c r="B1" s="4" t="s">
        <v>157</v>
      </c>
      <c r="C1" s="4" t="s">
        <v>338</v>
      </c>
      <c r="D1" s="4" t="s">
        <v>339</v>
      </c>
      <c r="E1" s="4" t="s">
        <v>340</v>
      </c>
      <c r="F1" s="4" t="s">
        <v>341</v>
      </c>
      <c r="G1" s="4" t="s">
        <v>342</v>
      </c>
      <c r="H1" s="4" t="s">
        <v>343</v>
      </c>
      <c r="I1" s="4" t="s">
        <v>344</v>
      </c>
      <c r="J1" s="4" t="s">
        <v>345</v>
      </c>
      <c r="K1" s="4" t="s">
        <v>346</v>
      </c>
      <c r="L1" s="4" t="s">
        <v>347</v>
      </c>
      <c r="M1" s="4" t="s">
        <v>327</v>
      </c>
    </row>
    <row r="2" customFormat="false" ht="15" hidden="false" customHeight="true" outlineLevel="0" collapsed="false">
      <c r="A2" s="6" t="s">
        <v>17</v>
      </c>
      <c r="B2" s="19" t="s">
        <v>160</v>
      </c>
      <c r="C2" s="23" t="n">
        <f aca="false">'AMB-P&amp;L'!C29</f>
        <v>-2822.69266715384</v>
      </c>
      <c r="D2" s="23" t="n">
        <f aca="false">'AMB-P&amp;L'!D29</f>
        <v>-1188.61168802892</v>
      </c>
      <c r="E2" s="23" t="n">
        <f aca="false">'AMB-P&amp;L'!E29</f>
        <v>380.06218887947</v>
      </c>
      <c r="F2" s="23" t="n">
        <f aca="false">'AMB-P&amp;L'!F29</f>
        <v>1825.07105508918</v>
      </c>
      <c r="G2" s="23" t="n">
        <f aca="false">'AMB-P&amp;L'!G29</f>
        <v>3201.79089160745</v>
      </c>
      <c r="H2" s="23" t="n">
        <f aca="false">'AMB-P&amp;L'!H29</f>
        <v>3968.39947426299</v>
      </c>
      <c r="I2" s="23" t="n">
        <f aca="false">'AMB-P&amp;L'!I29</f>
        <v>4717.59670992828</v>
      </c>
      <c r="J2" s="23" t="n">
        <f aca="false">'AMB-P&amp;L'!J29</f>
        <v>5407.48800798626</v>
      </c>
      <c r="K2" s="23" t="n">
        <f aca="false">'AMB-P&amp;L'!K29</f>
        <v>6091.59047669142</v>
      </c>
      <c r="L2" s="23" t="n">
        <f aca="false">'AMB-P&amp;L'!L29</f>
        <v>6693.27581137978</v>
      </c>
      <c r="M2" s="67" t="n">
        <f aca="false">'AMB-Balance Sheet'!C16</f>
        <v>3690.14275658032</v>
      </c>
    </row>
    <row r="3" customFormat="false" ht="15" hidden="false" customHeight="true" outlineLevel="0" collapsed="false">
      <c r="A3" s="5" t="s">
        <v>538</v>
      </c>
      <c r="B3" s="19" t="s">
        <v>160</v>
      </c>
      <c r="C3" s="68" t="n">
        <f aca="false">1/(1+'AMB-Cost of Capital'!$B$13)^1</f>
        <v>0.897870717633186</v>
      </c>
      <c r="D3" s="68" t="n">
        <f aca="false">1/(1+'AMB-Cost of Capital'!$B$13)^2</f>
        <v>0.806171825583132</v>
      </c>
      <c r="E3" s="68" t="n">
        <f aca="false">1/(1+'AMB-Cost of Capital'!$B$13)^3</f>
        <v>0.723838075571982</v>
      </c>
      <c r="F3" s="68" t="n">
        <f aca="false">1/(1+'AMB-Cost of Capital'!$B$13)^4</f>
        <v>0.64991301236404</v>
      </c>
      <c r="G3" s="68" t="n">
        <f aca="false">1/(1+'AMB-Cost of Capital'!$B$13)^5</f>
        <v>0.583537862810446</v>
      </c>
      <c r="H3" s="68" t="n">
        <f aca="false">1/(1+'AMB-Cost of Capital'!$B$13)^6</f>
        <v>0.52394155964775</v>
      </c>
      <c r="I3" s="68" t="n">
        <f aca="false">1/(1+'AMB-Cost of Capital'!$B$13)^7</f>
        <v>0.470431784158776</v>
      </c>
      <c r="J3" s="68" t="n">
        <f aca="false">1/(1+'AMB-Cost of Capital'!$B$13)^8</f>
        <v>0.4223869236401</v>
      </c>
      <c r="K3" s="68" t="n">
        <f aca="false">1/(1+'AMB-Cost of Capital'!$B$13)^9</f>
        <v>0.37924885024761</v>
      </c>
      <c r="L3" s="68" t="n">
        <f aca="false">1/(1+'AMB-Cost of Capital'!$B$13)^10</f>
        <v>0.340516437333383</v>
      </c>
    </row>
    <row r="4" customFormat="false" ht="15" hidden="false" customHeight="true" outlineLevel="0" collapsed="false">
      <c r="A4" s="6" t="s">
        <v>539</v>
      </c>
      <c r="B4" s="19" t="s">
        <v>160</v>
      </c>
      <c r="C4" s="23" t="n">
        <f aca="false">C2*C3</f>
        <v>-2534.41309071535</v>
      </c>
      <c r="D4" s="23" t="n">
        <f aca="false">D2*D3</f>
        <v>-958.225254447722</v>
      </c>
      <c r="E4" s="23" t="n">
        <f aca="false">E2*E3</f>
        <v>275.103483396191</v>
      </c>
      <c r="F4" s="23" t="n">
        <f aca="false">F2*F3</f>
        <v>1186.13742719142</v>
      </c>
      <c r="G4" s="23" t="n">
        <f aca="false">G2*G3</f>
        <v>1868.36621405456</v>
      </c>
      <c r="H4" s="23" t="n">
        <f aca="false">H2*H3</f>
        <v>2079.20940985066</v>
      </c>
      <c r="I4" s="23" t="n">
        <f aca="false">I2*I3</f>
        <v>2219.30743719313</v>
      </c>
      <c r="J4" s="23" t="n">
        <f aca="false">J2*J3</f>
        <v>2284.05222431405</v>
      </c>
      <c r="K4" s="23" t="n">
        <f aca="false">K2*K3</f>
        <v>2310.22868446452</v>
      </c>
      <c r="L4" s="23" t="n">
        <f aca="false">L2*L3</f>
        <v>2279.17043338075</v>
      </c>
    </row>
    <row r="6" customFormat="false" ht="15" hidden="false" customHeight="true" outlineLevel="0" collapsed="false">
      <c r="A6" s="5" t="s">
        <v>540</v>
      </c>
      <c r="C6" s="26" t="n">
        <f aca="false">SUM(C4:L4)</f>
        <v>11008.9369686822</v>
      </c>
    </row>
    <row r="7" customFormat="false" ht="15" hidden="false" customHeight="true" outlineLevel="0" collapsed="false">
      <c r="A7" s="5" t="s">
        <v>541</v>
      </c>
      <c r="C7" s="26" t="n">
        <f aca="false">M2/('AMB-Cost of Capital'!$B$13-'AMB-Assumptions'!$B$42)</f>
        <v>84238.1243976082</v>
      </c>
    </row>
    <row r="8" customFormat="false" ht="15" hidden="false" customHeight="true" outlineLevel="0" collapsed="false">
      <c r="A8" s="5" t="s">
        <v>542</v>
      </c>
      <c r="C8" s="26" t="n">
        <f aca="false">C7*L3</f>
        <v>28684.4660075198</v>
      </c>
    </row>
    <row r="9" customFormat="false" ht="15" hidden="false" customHeight="true" outlineLevel="0" collapsed="false">
      <c r="A9" s="6" t="s">
        <v>543</v>
      </c>
      <c r="C9" s="27" t="n">
        <f aca="false">C6+C8</f>
        <v>39693.4029762021</v>
      </c>
    </row>
    <row r="10" customFormat="false" ht="15" hidden="false" customHeight="true" outlineLevel="0" collapsed="false">
      <c r="A10" s="5" t="s">
        <v>544</v>
      </c>
      <c r="C10" s="26" t="n">
        <f aca="false">'AMB-Assumptions'!$B$17</f>
        <v>958.6</v>
      </c>
    </row>
    <row r="11" customFormat="false" ht="15" hidden="false" customHeight="true" outlineLevel="0" collapsed="false">
      <c r="A11" s="5" t="s">
        <v>545</v>
      </c>
      <c r="C11" s="26" t="n">
        <f aca="false">-'AMB-Assumptions'!$B$16</f>
        <v>-865.93</v>
      </c>
    </row>
    <row r="12" customFormat="false" ht="15" hidden="false" customHeight="true" outlineLevel="0" collapsed="false">
      <c r="A12" s="5" t="s">
        <v>546</v>
      </c>
      <c r="C12" s="26" t="n">
        <f aca="false">'AMB-Assumptions'!$B$22</f>
        <v>614.1</v>
      </c>
    </row>
    <row r="13" customFormat="false" ht="15" hidden="false" customHeight="true" outlineLevel="0" collapsed="false">
      <c r="A13" s="5" t="s">
        <v>547</v>
      </c>
      <c r="C13" s="26" t="n">
        <f aca="false">-'AMB-Assumptions'!$B$23</f>
        <v>-3466.33</v>
      </c>
    </row>
    <row r="14" customFormat="false" ht="15" hidden="false" customHeight="true" outlineLevel="0" collapsed="false">
      <c r="A14" s="5" t="s">
        <v>548</v>
      </c>
      <c r="C14" s="26" t="n">
        <f aca="false">-'AMB-Assumptions'!$B$18</f>
        <v>-12498.92</v>
      </c>
    </row>
    <row r="15" customFormat="false" ht="15" hidden="false" customHeight="true" outlineLevel="0" collapsed="false">
      <c r="A15" s="6" t="s">
        <v>549</v>
      </c>
      <c r="C15" s="27" t="n">
        <f aca="false">SUM(C9:C14)</f>
        <v>24434.9229762021</v>
      </c>
    </row>
    <row r="16" customFormat="false" ht="15" hidden="false" customHeight="true" outlineLevel="0" collapsed="false">
      <c r="A16" s="6" t="s">
        <v>550</v>
      </c>
      <c r="C16" s="69" t="n">
        <f aca="false">C15/'AMB-Assumptions'!$B$15</f>
        <v>98.8547737527392</v>
      </c>
    </row>
    <row r="17" customFormat="false" ht="15" hidden="false" customHeight="true" outlineLevel="0" collapsed="false">
      <c r="A17" s="5" t="s">
        <v>551</v>
      </c>
      <c r="C17" s="28" t="n">
        <f aca="false">C8/C9</f>
        <v>0.722650714143039</v>
      </c>
    </row>
    <row r="18" customFormat="false" ht="15" hidden="false" customHeight="true" outlineLevel="0" collapsed="false">
      <c r="A18" s="5" t="s">
        <v>552</v>
      </c>
      <c r="C18" s="70" t="n">
        <f aca="false">C7/('AMB-P&amp;L'!L17*(1+'AMB-Assumptions'!$B$42))</f>
        <v>4.63537752276253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13" min="3" style="1" width="13"/>
  </cols>
  <sheetData>
    <row r="1" customFormat="false" ht="15" hidden="false" customHeight="true" outlineLevel="0" collapsed="false">
      <c r="A1" s="4" t="s">
        <v>199</v>
      </c>
      <c r="B1" s="4" t="s">
        <v>157</v>
      </c>
      <c r="C1" s="4" t="s">
        <v>338</v>
      </c>
      <c r="D1" s="4" t="s">
        <v>339</v>
      </c>
      <c r="E1" s="4" t="s">
        <v>340</v>
      </c>
      <c r="F1" s="4" t="s">
        <v>341</v>
      </c>
      <c r="G1" s="4" t="s">
        <v>342</v>
      </c>
      <c r="H1" s="4" t="s">
        <v>343</v>
      </c>
      <c r="I1" s="4" t="s">
        <v>344</v>
      </c>
      <c r="J1" s="4" t="s">
        <v>345</v>
      </c>
      <c r="K1" s="4" t="s">
        <v>346</v>
      </c>
      <c r="L1" s="4" t="s">
        <v>347</v>
      </c>
      <c r="M1" s="4" t="s">
        <v>327</v>
      </c>
    </row>
    <row r="2" customFormat="false" ht="15" hidden="false" customHeight="true" outlineLevel="0" collapsed="false">
      <c r="A2" s="6" t="s">
        <v>553</v>
      </c>
      <c r="B2" s="19" t="s">
        <v>160</v>
      </c>
      <c r="C2" s="26" t="n">
        <f aca="false">(D2+'AMB-P&amp;L'!D29)/(1+'AMB-Cost of Capital'!$B$13)</f>
        <v>47031.0649825302</v>
      </c>
      <c r="D2" s="26" t="n">
        <f aca="false">(E2+'AMB-P&amp;L'!E29)/(1+'AMB-Cost of Capital'!$B$13)</f>
        <v>53569.2763637915</v>
      </c>
      <c r="E2" s="26" t="n">
        <f aca="false">(F2+'AMB-P&amp;L'!F29)/(1+'AMB-Cost of Capital'!$B$13)</f>
        <v>59282.5098404231</v>
      </c>
      <c r="F2" s="26" t="n">
        <f aca="false">(G2+'AMB-P&amp;L'!G29)/(1+'AMB-Cost of Capital'!$B$13)</f>
        <v>64200.5924131366</v>
      </c>
      <c r="G2" s="26" t="n">
        <f aca="false">(H2+'AMB-P&amp;L'!H29)/(1+'AMB-Cost of Capital'!$B$13)</f>
        <v>68301.3678063077</v>
      </c>
      <c r="H2" s="26" t="n">
        <f aca="false">(I2+'AMB-P&amp;L'!I29)/(1+'AMB-Cost of Capital'!$B$13)</f>
        <v>72101.9817787888</v>
      </c>
      <c r="I2" s="26" t="n">
        <f aca="false">(J2+'AMB-P&amp;L'!J29)/(1+'AMB-Cost of Capital'!$B$13)</f>
        <v>75585.7034899622</v>
      </c>
      <c r="J2" s="26" t="n">
        <f aca="false">(K2+'AMB-P&amp;L'!K29)/(1+'AMB-Cost of Capital'!$B$13)</f>
        <v>78775.7936221446</v>
      </c>
      <c r="K2" s="26" t="n">
        <f aca="false">(L2+'AMB-P&amp;L'!L29)/(1+'AMB-Cost of Capital'!$B$13)</f>
        <v>81644.6415610345</v>
      </c>
      <c r="L2" s="26" t="n">
        <f aca="false">'AMB-FCFF valuation'!C7</f>
        <v>84238.1243976082</v>
      </c>
    </row>
    <row r="3" customFormat="false" ht="15" hidden="false" customHeight="true" outlineLevel="0" collapsed="false">
      <c r="A3" s="6" t="s">
        <v>554</v>
      </c>
      <c r="B3" s="23" t="n">
        <f aca="false">(C2+'AMB-P&amp;L'!C29)/(1+'AMB-Cost of Capital'!$B$13)</f>
        <v>39693.4029762021</v>
      </c>
    </row>
    <row r="4" customFormat="false" ht="15" hidden="false" customHeight="true" outlineLevel="0" collapsed="false">
      <c r="A4" s="5" t="s">
        <v>555</v>
      </c>
      <c r="B4" s="19" t="s">
        <v>160</v>
      </c>
      <c r="C4" s="26" t="n">
        <f aca="false">$B$3*'AMB-Cost of Capital'!$B$11</f>
        <v>343.851427144412</v>
      </c>
      <c r="D4" s="26" t="n">
        <f aca="false">C2*'AMB-Cost of Capital'!$B$11</f>
        <v>407.415278152398</v>
      </c>
      <c r="E4" s="26" t="n">
        <f aca="false">D2*'AMB-Cost of Capital'!$B$11</f>
        <v>464.053740613438</v>
      </c>
      <c r="F4" s="26" t="n">
        <f aca="false">E2*'AMB-Cost of Capital'!$B$11</f>
        <v>513.545679758257</v>
      </c>
      <c r="G4" s="26" t="n">
        <f aca="false">F2*'AMB-Cost of Capital'!$B$11</f>
        <v>556.149477483927</v>
      </c>
      <c r="H4" s="26" t="n">
        <f aca="false">G2*'AMB-Cost of Capital'!$B$11</f>
        <v>591.673200964777</v>
      </c>
      <c r="I4" s="26" t="n">
        <f aca="false">H2*'AMB-Cost of Capital'!$B$11</f>
        <v>624.596720755865</v>
      </c>
      <c r="J4" s="26" t="n">
        <f aca="false">I2*'AMB-Cost of Capital'!$B$11</f>
        <v>654.775102863319</v>
      </c>
      <c r="K4" s="26" t="n">
        <f aca="false">J2*'AMB-Cost of Capital'!$B$11</f>
        <v>682.409847239553</v>
      </c>
      <c r="L4" s="26" t="n">
        <f aca="false">K2*'AMB-Cost of Capital'!$B$11</f>
        <v>707.261771843725</v>
      </c>
    </row>
    <row r="5" customFormat="false" ht="15" hidden="false" customHeight="true" outlineLevel="0" collapsed="false">
      <c r="A5" s="5" t="s">
        <v>556</v>
      </c>
      <c r="B5" s="19" t="s">
        <v>160</v>
      </c>
      <c r="C5" s="26" t="n">
        <f aca="false">C4*'AMB-Cost of Capital'!$B$9</f>
        <v>27.5081141715529</v>
      </c>
      <c r="D5" s="26" t="n">
        <f aca="false">D4*'AMB-Cost of Capital'!$B$9</f>
        <v>32.5932222521919</v>
      </c>
      <c r="E5" s="26" t="n">
        <f aca="false">E4*'AMB-Cost of Capital'!$B$9</f>
        <v>37.124299249075</v>
      </c>
      <c r="F5" s="26" t="n">
        <f aca="false">F4*'AMB-Cost of Capital'!$B$9</f>
        <v>41.0836543806606</v>
      </c>
      <c r="G5" s="26" t="n">
        <f aca="false">G4*'AMB-Cost of Capital'!$B$9</f>
        <v>44.4919581987141</v>
      </c>
      <c r="H5" s="26" t="n">
        <f aca="false">H4*'AMB-Cost of Capital'!$B$9</f>
        <v>47.3338560771822</v>
      </c>
      <c r="I5" s="26" t="n">
        <f aca="false">I4*'AMB-Cost of Capital'!$B$9</f>
        <v>49.9677376604692</v>
      </c>
      <c r="J5" s="26" t="n">
        <f aca="false">J4*'AMB-Cost of Capital'!$B$9</f>
        <v>52.3820082290655</v>
      </c>
      <c r="K5" s="26" t="n">
        <f aca="false">K4*'AMB-Cost of Capital'!$B$9</f>
        <v>54.5927877791643</v>
      </c>
      <c r="L5" s="26" t="n">
        <f aca="false">L4*'AMB-Cost of Capital'!$B$9</f>
        <v>56.580941747498</v>
      </c>
    </row>
    <row r="6" customFormat="false" ht="15" hidden="false" customHeight="true" outlineLevel="0" collapsed="false">
      <c r="A6" s="5" t="s">
        <v>557</v>
      </c>
      <c r="B6" s="19" t="s">
        <v>160</v>
      </c>
      <c r="C6" s="26" t="n">
        <f aca="false">C5*'AMB-Cost of Capital'!$B$10</f>
        <v>6.92324217469645</v>
      </c>
      <c r="D6" s="26" t="n">
        <f aca="false">D5*'AMB-Cost of Capital'!$B$10</f>
        <v>8.20306217643165</v>
      </c>
      <c r="E6" s="26" t="n">
        <f aca="false">E5*'AMB-Cost of Capital'!$B$10</f>
        <v>9.3434436350072</v>
      </c>
      <c r="F6" s="26" t="n">
        <f aca="false">F5*'AMB-Cost of Capital'!$B$10</f>
        <v>10.3399341345247</v>
      </c>
      <c r="G6" s="26" t="n">
        <f aca="false">G5*'AMB-Cost of Capital'!$B$10</f>
        <v>11.1977360394524</v>
      </c>
      <c r="H6" s="26" t="n">
        <f aca="false">H5*'AMB-Cost of Capital'!$B$10</f>
        <v>11.9129848975052</v>
      </c>
      <c r="I6" s="26" t="n">
        <f aca="false">I5*'AMB-Cost of Capital'!$B$10</f>
        <v>12.5758802143869</v>
      </c>
      <c r="J6" s="26" t="n">
        <f aca="false">J5*'AMB-Cost of Capital'!$B$10</f>
        <v>13.1835038310912</v>
      </c>
      <c r="K6" s="26" t="n">
        <f aca="false">K5*'AMB-Cost of Capital'!$B$10</f>
        <v>13.7399128282601</v>
      </c>
      <c r="L6" s="26" t="n">
        <f aca="false">L5*'AMB-Cost of Capital'!$B$10</f>
        <v>14.2402914190103</v>
      </c>
      <c r="M6" s="67" t="n">
        <f aca="false">L2*'AMB-Cost of Capital'!$B$11*'AMB-Cost of Capital'!$B$9*'AMB-Cost of Capital'!$B$10</f>
        <v>14.6926413917321</v>
      </c>
    </row>
    <row r="7" customFormat="false" ht="15" hidden="false" customHeight="true" outlineLevel="0" collapsed="false">
      <c r="A7" s="6" t="s">
        <v>558</v>
      </c>
      <c r="B7" s="19" t="s">
        <v>160</v>
      </c>
      <c r="C7" s="23" t="n">
        <f aca="false">'AMB-P&amp;L'!C29+C6</f>
        <v>-2815.76942497914</v>
      </c>
      <c r="D7" s="23" t="n">
        <f aca="false">'AMB-P&amp;L'!D29+D6</f>
        <v>-1180.40862585249</v>
      </c>
      <c r="E7" s="23" t="n">
        <f aca="false">'AMB-P&amp;L'!E29+E6</f>
        <v>389.405632514477</v>
      </c>
      <c r="F7" s="23" t="n">
        <f aca="false">'AMB-P&amp;L'!F29+F6</f>
        <v>1835.4109892237</v>
      </c>
      <c r="G7" s="23" t="n">
        <f aca="false">'AMB-P&amp;L'!G29+G6</f>
        <v>3212.9886276469</v>
      </c>
      <c r="H7" s="23" t="n">
        <f aca="false">'AMB-P&amp;L'!H29+H6</f>
        <v>3980.31245916049</v>
      </c>
      <c r="I7" s="23" t="n">
        <f aca="false">'AMB-P&amp;L'!I29+I6</f>
        <v>4730.17259014267</v>
      </c>
      <c r="J7" s="23" t="n">
        <f aca="false">'AMB-P&amp;L'!J29+J6</f>
        <v>5420.67151181735</v>
      </c>
      <c r="K7" s="23" t="n">
        <f aca="false">'AMB-P&amp;L'!K29+K6</f>
        <v>6105.33038951968</v>
      </c>
      <c r="L7" s="23" t="n">
        <f aca="false">'AMB-P&amp;L'!L29+L6</f>
        <v>6707.51610279879</v>
      </c>
      <c r="M7" s="67" t="n">
        <f aca="false">'AMB-FCFF valuation'!M2+M6</f>
        <v>3704.83539797205</v>
      </c>
    </row>
    <row r="8" customFormat="false" ht="15" hidden="false" customHeight="true" outlineLevel="0" collapsed="false">
      <c r="A8" s="5" t="s">
        <v>559</v>
      </c>
      <c r="B8" s="19" t="s">
        <v>160</v>
      </c>
      <c r="C8" s="68" t="n">
        <f aca="false">1/(1+'AMB-Cost of Capital'!$B$14)^1</f>
        <v>0.897730128808858</v>
      </c>
      <c r="D8" s="68" t="n">
        <f aca="false">1/(1+'AMB-Cost of Capital'!$B$14)^2</f>
        <v>0.805919384171169</v>
      </c>
      <c r="E8" s="68" t="n">
        <f aca="false">1/(1+'AMB-Cost of Capital'!$B$14)^3</f>
        <v>0.723498112561539</v>
      </c>
      <c r="F8" s="68" t="n">
        <f aca="false">1/(1+'AMB-Cost of Capital'!$B$14)^4</f>
        <v>0.649506053782836</v>
      </c>
      <c r="G8" s="68" t="n">
        <f aca="false">1/(1+'AMB-Cost of Capital'!$B$14)^5</f>
        <v>0.583081153324598</v>
      </c>
      <c r="H8" s="68" t="n">
        <f aca="false">1/(1+'AMB-Cost of Capital'!$B$14)^6</f>
        <v>0.523449518880109</v>
      </c>
      <c r="I8" s="68" t="n">
        <f aca="false">1/(1+'AMB-Cost of Capital'!$B$14)^7</f>
        <v>0.469916404009175</v>
      </c>
      <c r="J8" s="68" t="n">
        <f aca="false">1/(1+'AMB-Cost of Capital'!$B$14)^8</f>
        <v>0.421858113900552</v>
      </c>
      <c r="K8" s="68" t="n">
        <f aca="false">1/(1+'AMB-Cost of Capital'!$B$14)^9</f>
        <v>0.378714738931004</v>
      </c>
      <c r="L8" s="68" t="n">
        <f aca="false">1/(1+'AMB-Cost of Capital'!$B$14)^10</f>
        <v>0.339983631362344</v>
      </c>
    </row>
    <row r="9" customFormat="false" ht="15" hidden="false" customHeight="true" outlineLevel="0" collapsed="false">
      <c r="A9" s="6" t="s">
        <v>560</v>
      </c>
      <c r="B9" s="19" t="s">
        <v>160</v>
      </c>
      <c r="C9" s="23" t="n">
        <f aca="false">C7*C8</f>
        <v>-2527.80104858257</v>
      </c>
      <c r="D9" s="23" t="n">
        <f aca="false">D7*D8</f>
        <v>-951.314192817373</v>
      </c>
      <c r="E9" s="23" t="n">
        <f aca="false">E7*E8</f>
        <v>281.734240145057</v>
      </c>
      <c r="F9" s="23" t="n">
        <f aca="false">F7*F8</f>
        <v>1192.11054868034</v>
      </c>
      <c r="G9" s="23" t="n">
        <f aca="false">G7*G8</f>
        <v>1873.43311462717</v>
      </c>
      <c r="H9" s="23" t="n">
        <f aca="false">H7*H8</f>
        <v>2083.49264174006</v>
      </c>
      <c r="I9" s="23" t="n">
        <f aca="false">I7*I8</f>
        <v>2222.78569390261</v>
      </c>
      <c r="J9" s="23" t="n">
        <f aca="false">J7*J8</f>
        <v>2286.75426004972</v>
      </c>
      <c r="K9" s="23" t="n">
        <f aca="false">K7*K8</f>
        <v>2312.17860455447</v>
      </c>
      <c r="L9" s="23" t="n">
        <f aca="false">L7*L8</f>
        <v>2280.44568205093</v>
      </c>
    </row>
    <row r="11" customFormat="false" ht="15" hidden="false" customHeight="true" outlineLevel="0" collapsed="false">
      <c r="A11" s="5" t="s">
        <v>561</v>
      </c>
      <c r="C11" s="26" t="n">
        <f aca="false">SUM(C9:L9)</f>
        <v>11053.8195443504</v>
      </c>
    </row>
    <row r="12" customFormat="false" ht="15" hidden="false" customHeight="true" outlineLevel="0" collapsed="false">
      <c r="A12" s="5" t="s">
        <v>562</v>
      </c>
      <c r="C12" s="26" t="n">
        <f aca="false">M7/('AMB-Cost of Capital'!$B$14-'AMB-Assumptions'!$B$42)</f>
        <v>84238.1243976082</v>
      </c>
    </row>
    <row r="13" customFormat="false" ht="15" hidden="false" customHeight="true" outlineLevel="0" collapsed="false">
      <c r="A13" s="5" t="s">
        <v>542</v>
      </c>
      <c r="C13" s="26" t="n">
        <f aca="false">C12*L8</f>
        <v>28639.5834318517</v>
      </c>
    </row>
    <row r="14" customFormat="false" ht="15" hidden="false" customHeight="true" outlineLevel="0" collapsed="false">
      <c r="A14" s="6" t="s">
        <v>543</v>
      </c>
      <c r="C14" s="27" t="n">
        <f aca="false">C11+C13</f>
        <v>39693.4029762021</v>
      </c>
    </row>
    <row r="15" customFormat="false" ht="15" hidden="false" customHeight="true" outlineLevel="0" collapsed="false">
      <c r="A15" s="6" t="s">
        <v>549</v>
      </c>
      <c r="C15" s="27" t="n">
        <f aca="false">C14+'AMB-Assumptions'!$B$17+'AMB-Assumptions'!$B$22-'AMB-Assumptions'!$B$16-'AMB-Assumptions'!$B$23-'AMB-Assumptions'!$B$18</f>
        <v>24434.9229762021</v>
      </c>
    </row>
    <row r="16" customFormat="false" ht="15" hidden="false" customHeight="true" outlineLevel="0" collapsed="false">
      <c r="A16" s="6" t="s">
        <v>550</v>
      </c>
      <c r="C16" s="69" t="n">
        <f aca="false">C15/'AMB-Assumptions'!$B$15</f>
        <v>98.8547737527393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13" min="3" style="1" width="13"/>
  </cols>
  <sheetData>
    <row r="1" customFormat="false" ht="15" hidden="false" customHeight="true" outlineLevel="0" collapsed="false">
      <c r="A1" s="4" t="s">
        <v>199</v>
      </c>
      <c r="B1" s="4" t="s">
        <v>157</v>
      </c>
      <c r="C1" s="4" t="s">
        <v>338</v>
      </c>
      <c r="D1" s="4" t="s">
        <v>339</v>
      </c>
      <c r="E1" s="4" t="s">
        <v>340</v>
      </c>
      <c r="F1" s="4" t="s">
        <v>341</v>
      </c>
      <c r="G1" s="4" t="s">
        <v>342</v>
      </c>
      <c r="H1" s="4" t="s">
        <v>343</v>
      </c>
      <c r="I1" s="4" t="s">
        <v>344</v>
      </c>
      <c r="J1" s="4" t="s">
        <v>345</v>
      </c>
      <c r="K1" s="4" t="s">
        <v>346</v>
      </c>
      <c r="L1" s="4" t="s">
        <v>347</v>
      </c>
      <c r="M1" s="4" t="s">
        <v>327</v>
      </c>
    </row>
    <row r="2" customFormat="false" ht="15" hidden="false" customHeight="true" outlineLevel="0" collapsed="false">
      <c r="A2" s="5" t="s">
        <v>563</v>
      </c>
      <c r="B2" s="19" t="s">
        <v>160</v>
      </c>
      <c r="C2" s="26" t="n">
        <f aca="false">'AMB-P&amp;L'!C29</f>
        <v>-2822.69266715384</v>
      </c>
      <c r="D2" s="26" t="n">
        <f aca="false">'AMB-P&amp;L'!D29</f>
        <v>-1188.61168802892</v>
      </c>
      <c r="E2" s="26" t="n">
        <f aca="false">'AMB-P&amp;L'!E29</f>
        <v>380.06218887947</v>
      </c>
      <c r="F2" s="26" t="n">
        <f aca="false">'AMB-P&amp;L'!F29</f>
        <v>1825.07105508918</v>
      </c>
      <c r="G2" s="26" t="n">
        <f aca="false">'AMB-P&amp;L'!G29</f>
        <v>3201.79089160745</v>
      </c>
      <c r="H2" s="26" t="n">
        <f aca="false">'AMB-P&amp;L'!H29</f>
        <v>3968.39947426299</v>
      </c>
      <c r="I2" s="26" t="n">
        <f aca="false">'AMB-P&amp;L'!I29</f>
        <v>4717.59670992828</v>
      </c>
      <c r="J2" s="26" t="n">
        <f aca="false">'AMB-P&amp;L'!J29</f>
        <v>5407.48800798626</v>
      </c>
      <c r="K2" s="26" t="n">
        <f aca="false">'AMB-P&amp;L'!K29</f>
        <v>6091.59047669142</v>
      </c>
      <c r="L2" s="26" t="n">
        <f aca="false">'AMB-P&amp;L'!L29</f>
        <v>6693.27581137978</v>
      </c>
      <c r="M2" s="67" t="n">
        <f aca="false">'AMB-FCFF valuation'!M2</f>
        <v>3690.14275658032</v>
      </c>
    </row>
    <row r="3" customFormat="false" ht="15" hidden="false" customHeight="true" outlineLevel="0" collapsed="false">
      <c r="A3" s="5" t="s">
        <v>559</v>
      </c>
      <c r="B3" s="19" t="s">
        <v>160</v>
      </c>
      <c r="C3" s="68" t="n">
        <f aca="false">1/(1+'AMB-Cost of Capital'!$B$14)^1</f>
        <v>0.897730128808858</v>
      </c>
      <c r="D3" s="68" t="n">
        <f aca="false">1/(1+'AMB-Cost of Capital'!$B$14)^2</f>
        <v>0.805919384171169</v>
      </c>
      <c r="E3" s="68" t="n">
        <f aca="false">1/(1+'AMB-Cost of Capital'!$B$14)^3</f>
        <v>0.723498112561539</v>
      </c>
      <c r="F3" s="68" t="n">
        <f aca="false">1/(1+'AMB-Cost of Capital'!$B$14)^4</f>
        <v>0.649506053782836</v>
      </c>
      <c r="G3" s="68" t="n">
        <f aca="false">1/(1+'AMB-Cost of Capital'!$B$14)^5</f>
        <v>0.583081153324598</v>
      </c>
      <c r="H3" s="68" t="n">
        <f aca="false">1/(1+'AMB-Cost of Capital'!$B$14)^6</f>
        <v>0.523449518880109</v>
      </c>
      <c r="I3" s="68" t="n">
        <f aca="false">1/(1+'AMB-Cost of Capital'!$B$14)^7</f>
        <v>0.469916404009175</v>
      </c>
      <c r="J3" s="68" t="n">
        <f aca="false">1/(1+'AMB-Cost of Capital'!$B$14)^8</f>
        <v>0.421858113900552</v>
      </c>
      <c r="K3" s="68" t="n">
        <f aca="false">1/(1+'AMB-Cost of Capital'!$B$14)^9</f>
        <v>0.378714738931004</v>
      </c>
      <c r="L3" s="68" t="n">
        <f aca="false">1/(1+'AMB-Cost of Capital'!$B$14)^10</f>
        <v>0.339983631362344</v>
      </c>
    </row>
    <row r="4" customFormat="false" ht="15" hidden="false" customHeight="true" outlineLevel="0" collapsed="false">
      <c r="A4" s="5" t="s">
        <v>564</v>
      </c>
      <c r="B4" s="19" t="s">
        <v>160</v>
      </c>
      <c r="C4" s="26" t="n">
        <f aca="false">C2*C3</f>
        <v>-2534.01625167184</v>
      </c>
      <c r="D4" s="26" t="n">
        <f aca="false">D2*D3</f>
        <v>-957.92519963492</v>
      </c>
      <c r="E4" s="26" t="n">
        <f aca="false">E2*E3</f>
        <v>274.974276310304</v>
      </c>
      <c r="F4" s="26" t="n">
        <f aca="false">F2*F3</f>
        <v>1185.39469886425</v>
      </c>
      <c r="G4" s="26" t="n">
        <f aca="false">G2*G3</f>
        <v>1866.90392578266</v>
      </c>
      <c r="H4" s="26" t="n">
        <f aca="false">H2*H3</f>
        <v>2077.25679552704</v>
      </c>
      <c r="I4" s="26" t="n">
        <f aca="false">I2*I3</f>
        <v>2216.87608149501</v>
      </c>
      <c r="J4" s="26" t="n">
        <f aca="false">J2*J3</f>
        <v>2281.19269198894</v>
      </c>
      <c r="K4" s="26" t="n">
        <f aca="false">K2*K3</f>
        <v>2306.97509705479</v>
      </c>
      <c r="L4" s="26" t="n">
        <f aca="false">L2*L3</f>
        <v>2275.60421606264</v>
      </c>
    </row>
    <row r="5" customFormat="false" ht="15" hidden="false" customHeight="true" outlineLevel="0" collapsed="false">
      <c r="A5" s="5" t="s">
        <v>557</v>
      </c>
      <c r="B5" s="19" t="s">
        <v>160</v>
      </c>
      <c r="C5" s="26" t="n">
        <f aca="false">'AMB-CCF valuation'!C6</f>
        <v>6.92324217469645</v>
      </c>
      <c r="D5" s="26" t="n">
        <f aca="false">'AMB-CCF valuation'!D6</f>
        <v>8.20306217643165</v>
      </c>
      <c r="E5" s="26" t="n">
        <f aca="false">'AMB-CCF valuation'!E6</f>
        <v>9.3434436350072</v>
      </c>
      <c r="F5" s="26" t="n">
        <f aca="false">'AMB-CCF valuation'!F6</f>
        <v>10.3399341345247</v>
      </c>
      <c r="G5" s="26" t="n">
        <f aca="false">'AMB-CCF valuation'!G6</f>
        <v>11.1977360394524</v>
      </c>
      <c r="H5" s="26" t="n">
        <f aca="false">'AMB-CCF valuation'!H6</f>
        <v>11.9129848975052</v>
      </c>
      <c r="I5" s="26" t="n">
        <f aca="false">'AMB-CCF valuation'!I6</f>
        <v>12.5758802143869</v>
      </c>
      <c r="J5" s="26" t="n">
        <f aca="false">'AMB-CCF valuation'!J6</f>
        <v>13.1835038310912</v>
      </c>
      <c r="K5" s="26" t="n">
        <f aca="false">'AMB-CCF valuation'!K6</f>
        <v>13.7399128282601</v>
      </c>
      <c r="L5" s="26" t="n">
        <f aca="false">'AMB-CCF valuation'!L6</f>
        <v>14.2402914190103</v>
      </c>
      <c r="M5" s="67" t="n">
        <f aca="false">'AMB-CCF valuation'!M6</f>
        <v>14.6926413917321</v>
      </c>
    </row>
    <row r="6" customFormat="false" ht="15" hidden="false" customHeight="true" outlineLevel="0" collapsed="false">
      <c r="A6" s="5" t="s">
        <v>565</v>
      </c>
      <c r="B6" s="19" t="s">
        <v>160</v>
      </c>
      <c r="C6" s="26" t="n">
        <f aca="false">C5*C3</f>
        <v>6.21520308926516</v>
      </c>
      <c r="D6" s="26" t="n">
        <f aca="false">D5*D3</f>
        <v>6.6110068175476</v>
      </c>
      <c r="E6" s="26" t="n">
        <f aca="false">E5*E3</f>
        <v>6.75996383475283</v>
      </c>
      <c r="F6" s="26" t="n">
        <f aca="false">F5*F3</f>
        <v>6.71584981608955</v>
      </c>
      <c r="G6" s="26" t="n">
        <f aca="false">G5*G3</f>
        <v>6.52918884450831</v>
      </c>
      <c r="H6" s="26" t="n">
        <f aca="false">H5*H3</f>
        <v>6.2358462130251</v>
      </c>
      <c r="I6" s="26" t="n">
        <f aca="false">I5*I3</f>
        <v>5.90961240759482</v>
      </c>
      <c r="J6" s="26" t="n">
        <f aca="false">J5*J3</f>
        <v>5.56156806078484</v>
      </c>
      <c r="K6" s="26" t="n">
        <f aca="false">K5*K3</f>
        <v>5.20350749968927</v>
      </c>
      <c r="L6" s="26" t="n">
        <f aca="false">L5*L3</f>
        <v>4.84146598829314</v>
      </c>
    </row>
    <row r="8" customFormat="false" ht="15" hidden="false" customHeight="true" outlineLevel="0" collapsed="false">
      <c r="A8" s="5" t="s">
        <v>540</v>
      </c>
      <c r="C8" s="26" t="n">
        <f aca="false">SUM(C4:L4)</f>
        <v>10993.2363317789</v>
      </c>
    </row>
    <row r="9" customFormat="false" ht="15" hidden="false" customHeight="true" outlineLevel="0" collapsed="false">
      <c r="A9" s="5" t="s">
        <v>566</v>
      </c>
      <c r="C9" s="26" t="n">
        <f aca="false">M2/('AMB-Cost of Capital'!$B$14-'AMB-Assumptions'!$B$42)</f>
        <v>83904.0527263098</v>
      </c>
    </row>
    <row r="10" customFormat="false" ht="15" hidden="false" customHeight="true" outlineLevel="0" collapsed="false">
      <c r="A10" s="6" t="s">
        <v>567</v>
      </c>
      <c r="C10" s="23" t="n">
        <f aca="false">C8+C9*L3</f>
        <v>39519.2408636872</v>
      </c>
    </row>
    <row r="11" customFormat="false" ht="15" hidden="false" customHeight="true" outlineLevel="0" collapsed="false">
      <c r="A11" s="5" t="s">
        <v>568</v>
      </c>
      <c r="C11" s="26" t="n">
        <f aca="false">SUM(C6:L6)</f>
        <v>60.5832125715506</v>
      </c>
    </row>
    <row r="12" customFormat="false" ht="15" hidden="false" customHeight="true" outlineLevel="0" collapsed="false">
      <c r="A12" s="5" t="s">
        <v>569</v>
      </c>
      <c r="C12" s="26" t="n">
        <f aca="false">M5/('AMB-Cost of Capital'!$B$14-'AMB-Assumptions'!$B$42)</f>
        <v>334.071671298448</v>
      </c>
    </row>
    <row r="13" customFormat="false" ht="15" hidden="false" customHeight="true" outlineLevel="0" collapsed="false">
      <c r="A13" s="6" t="s">
        <v>570</v>
      </c>
      <c r="C13" s="23" t="n">
        <f aca="false">C11+C12*L3</f>
        <v>174.162112514884</v>
      </c>
    </row>
    <row r="14" customFormat="false" ht="15" hidden="false" customHeight="true" outlineLevel="0" collapsed="false">
      <c r="A14" s="6" t="s">
        <v>543</v>
      </c>
      <c r="C14" s="27" t="n">
        <f aca="false">C10+C13</f>
        <v>39693.4029762021</v>
      </c>
    </row>
    <row r="15" customFormat="false" ht="15" hidden="false" customHeight="true" outlineLevel="0" collapsed="false">
      <c r="A15" s="6" t="s">
        <v>549</v>
      </c>
      <c r="C15" s="27" t="n">
        <f aca="false">C14+'AMB-Assumptions'!$B$17+'AMB-Assumptions'!$B$22-'AMB-Assumptions'!$B$16-'AMB-Assumptions'!$B$23-'AMB-Assumptions'!$B$18</f>
        <v>24434.9229762021</v>
      </c>
    </row>
    <row r="16" customFormat="false" ht="15" hidden="false" customHeight="true" outlineLevel="0" collapsed="false">
      <c r="A16" s="6" t="s">
        <v>550</v>
      </c>
      <c r="C16" s="69" t="n">
        <f aca="false">C15/'AMB-Assumptions'!$B$15</f>
        <v>98.8547737527392</v>
      </c>
    </row>
    <row r="18" customFormat="false" ht="30" hidden="false" customHeight="true" outlineLevel="0" collapsed="false">
      <c r="A18" s="13" t="s">
        <v>571</v>
      </c>
      <c r="B18" s="13"/>
      <c r="C18" s="13"/>
      <c r="D18" s="13"/>
      <c r="E18" s="13"/>
      <c r="F18" s="13"/>
      <c r="G18" s="13"/>
      <c r="H18" s="13"/>
      <c r="I18" s="13"/>
      <c r="J18" s="13"/>
      <c r="K18" s="13"/>
      <c r="L18" s="13"/>
    </row>
  </sheetData>
  <mergeCells count="1">
    <mergeCell ref="A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12" min="3" style="1" width="13"/>
  </cols>
  <sheetData>
    <row r="1" customFormat="false" ht="15" hidden="false" customHeight="true" outlineLevel="0" collapsed="false">
      <c r="A1" s="4" t="s">
        <v>199</v>
      </c>
      <c r="B1" s="4" t="s">
        <v>157</v>
      </c>
      <c r="C1" s="4" t="s">
        <v>338</v>
      </c>
      <c r="D1" s="4" t="s">
        <v>339</v>
      </c>
      <c r="E1" s="4" t="s">
        <v>340</v>
      </c>
      <c r="F1" s="4" t="s">
        <v>341</v>
      </c>
      <c r="G1" s="4" t="s">
        <v>342</v>
      </c>
      <c r="H1" s="4" t="s">
        <v>343</v>
      </c>
      <c r="I1" s="4" t="s">
        <v>344</v>
      </c>
      <c r="J1" s="4" t="s">
        <v>345</v>
      </c>
      <c r="K1" s="4" t="s">
        <v>346</v>
      </c>
      <c r="L1" s="4" t="s">
        <v>347</v>
      </c>
    </row>
    <row r="2" customFormat="false" ht="15" hidden="false" customHeight="true" outlineLevel="0" collapsed="false">
      <c r="A2" s="5" t="s">
        <v>17</v>
      </c>
      <c r="B2" s="19" t="s">
        <v>160</v>
      </c>
      <c r="C2" s="26" t="n">
        <f aca="false">'AMB-P&amp;L'!C29</f>
        <v>-2822.69266715384</v>
      </c>
      <c r="D2" s="26" t="n">
        <f aca="false">'AMB-P&amp;L'!D29</f>
        <v>-1188.61168802892</v>
      </c>
      <c r="E2" s="26" t="n">
        <f aca="false">'AMB-P&amp;L'!E29</f>
        <v>380.06218887947</v>
      </c>
      <c r="F2" s="26" t="n">
        <f aca="false">'AMB-P&amp;L'!F29</f>
        <v>1825.07105508918</v>
      </c>
      <c r="G2" s="26" t="n">
        <f aca="false">'AMB-P&amp;L'!G29</f>
        <v>3201.79089160745</v>
      </c>
      <c r="H2" s="26" t="n">
        <f aca="false">'AMB-P&amp;L'!H29</f>
        <v>3968.39947426299</v>
      </c>
      <c r="I2" s="26" t="n">
        <f aca="false">'AMB-P&amp;L'!I29</f>
        <v>4717.59670992828</v>
      </c>
      <c r="J2" s="26" t="n">
        <f aca="false">'AMB-P&amp;L'!J29</f>
        <v>5407.48800798626</v>
      </c>
      <c r="K2" s="26" t="n">
        <f aca="false">'AMB-P&amp;L'!K29</f>
        <v>6091.59047669142</v>
      </c>
      <c r="L2" s="26" t="n">
        <f aca="false">'AMB-P&amp;L'!L29</f>
        <v>6693.27581137978</v>
      </c>
    </row>
    <row r="3" customFormat="false" ht="15" hidden="false" customHeight="true" outlineLevel="0" collapsed="false">
      <c r="A3" s="5" t="s">
        <v>572</v>
      </c>
      <c r="B3" s="19" t="s">
        <v>160</v>
      </c>
      <c r="C3" s="26" t="n">
        <f aca="false">-'AMB-CCF valuation'!C5*(1-'AMB-Cost of Capital'!$B$10)</f>
        <v>-20.5848719968565</v>
      </c>
      <c r="D3" s="26" t="n">
        <f aca="false">-'AMB-CCF valuation'!D5*(1-'AMB-Cost of Capital'!$B$10)</f>
        <v>-24.3901600757602</v>
      </c>
      <c r="E3" s="26" t="n">
        <f aca="false">-'AMB-CCF valuation'!E5*(1-'AMB-Cost of Capital'!$B$10)</f>
        <v>-27.7808556140678</v>
      </c>
      <c r="F3" s="26" t="n">
        <f aca="false">-'AMB-CCF valuation'!F5*(1-'AMB-Cost of Capital'!$B$10)</f>
        <v>-30.7437202461359</v>
      </c>
      <c r="G3" s="26" t="n">
        <f aca="false">-'AMB-CCF valuation'!G5*(1-'AMB-Cost of Capital'!$B$10)</f>
        <v>-33.2942221592618</v>
      </c>
      <c r="H3" s="26" t="n">
        <f aca="false">-'AMB-CCF valuation'!H5*(1-'AMB-Cost of Capital'!$B$10)</f>
        <v>-35.420871179677</v>
      </c>
      <c r="I3" s="26" t="n">
        <f aca="false">-'AMB-CCF valuation'!I5*(1-'AMB-Cost of Capital'!$B$10)</f>
        <v>-37.3918574460823</v>
      </c>
      <c r="J3" s="26" t="n">
        <f aca="false">-'AMB-CCF valuation'!J5*(1-'AMB-Cost of Capital'!$B$10)</f>
        <v>-39.1985043979743</v>
      </c>
      <c r="K3" s="26" t="n">
        <f aca="false">-'AMB-CCF valuation'!K5*(1-'AMB-Cost of Capital'!$B$10)</f>
        <v>-40.8528749509042</v>
      </c>
      <c r="L3" s="26" t="n">
        <f aca="false">-'AMB-CCF valuation'!L5*(1-'AMB-Cost of Capital'!$B$10)</f>
        <v>-42.3406503284877</v>
      </c>
    </row>
    <row r="4" customFormat="false" ht="15" hidden="false" customHeight="true" outlineLevel="0" collapsed="false">
      <c r="A4" s="5" t="s">
        <v>573</v>
      </c>
      <c r="B4" s="19" t="s">
        <v>160</v>
      </c>
      <c r="C4" s="26" t="n">
        <f aca="false">'AMB-CCF valuation'!C2*'AMB-Cost of Capital'!$B$11-'AMB-CCF valuation'!C4</f>
        <v>63.5638510079864</v>
      </c>
      <c r="D4" s="26" t="n">
        <f aca="false">'AMB-CCF valuation'!D2*'AMB-Cost of Capital'!$B$11-'AMB-CCF valuation'!D4</f>
        <v>56.6384624610395</v>
      </c>
      <c r="E4" s="26" t="n">
        <f aca="false">'AMB-CCF valuation'!E2*'AMB-Cost of Capital'!$B$11-'AMB-CCF valuation'!E4</f>
        <v>49.4919391448196</v>
      </c>
      <c r="F4" s="26" t="n">
        <f aca="false">'AMB-CCF valuation'!F2*'AMB-Cost of Capital'!$B$11-'AMB-CCF valuation'!F4</f>
        <v>42.6037977256696</v>
      </c>
      <c r="G4" s="26" t="n">
        <f aca="false">'AMB-CCF valuation'!G2*'AMB-Cost of Capital'!$B$11-'AMB-CCF valuation'!G4</f>
        <v>35.5237234808501</v>
      </c>
      <c r="H4" s="26" t="n">
        <f aca="false">'AMB-CCF valuation'!H2*'AMB-Cost of Capital'!$B$11-'AMB-CCF valuation'!H4</f>
        <v>32.9235197910883</v>
      </c>
      <c r="I4" s="26" t="n">
        <f aca="false">'AMB-CCF valuation'!I2*'AMB-Cost of Capital'!$B$11-'AMB-CCF valuation'!I4</f>
        <v>30.1783821074532</v>
      </c>
      <c r="J4" s="26" t="n">
        <f aca="false">'AMB-CCF valuation'!J2*'AMB-Cost of Capital'!$B$11-'AMB-CCF valuation'!J4</f>
        <v>27.634744376235</v>
      </c>
      <c r="K4" s="26" t="n">
        <f aca="false">'AMB-CCF valuation'!K2*'AMB-Cost of Capital'!$B$11-'AMB-CCF valuation'!K4</f>
        <v>24.8519246041716</v>
      </c>
      <c r="L4" s="26" t="n">
        <f aca="false">'AMB-CCF valuation'!L2*'AMB-Cost of Capital'!$B$11-'AMB-CCF valuation'!L4</f>
        <v>22.4665235975126</v>
      </c>
    </row>
    <row r="5" customFormat="false" ht="15" hidden="false" customHeight="true" outlineLevel="0" collapsed="false">
      <c r="A5" s="6" t="s">
        <v>23</v>
      </c>
      <c r="B5" s="19" t="s">
        <v>160</v>
      </c>
      <c r="C5" s="23" t="n">
        <f aca="false">SUM(C2:C4)</f>
        <v>-2779.71368814271</v>
      </c>
      <c r="D5" s="23" t="n">
        <f aca="false">SUM(D2:D4)</f>
        <v>-1156.36338564364</v>
      </c>
      <c r="E5" s="23" t="n">
        <f aca="false">SUM(E2:E4)</f>
        <v>401.773272410222</v>
      </c>
      <c r="F5" s="23" t="n">
        <f aca="false">SUM(F2:F4)</f>
        <v>1836.93113256871</v>
      </c>
      <c r="G5" s="23" t="n">
        <f aca="false">SUM(G2:G4)</f>
        <v>3204.02039292904</v>
      </c>
      <c r="H5" s="23" t="n">
        <f aca="false">SUM(H2:H4)</f>
        <v>3965.9021228744</v>
      </c>
      <c r="I5" s="23" t="n">
        <f aca="false">SUM(I2:I4)</f>
        <v>4710.38323458965</v>
      </c>
      <c r="J5" s="23" t="n">
        <f aca="false">SUM(J2:J4)</f>
        <v>5395.92424796452</v>
      </c>
      <c r="K5" s="23" t="n">
        <f aca="false">SUM(K2:K4)</f>
        <v>6075.58952634469</v>
      </c>
      <c r="L5" s="23" t="n">
        <f aca="false">SUM(L2:L4)</f>
        <v>6673.40168464881</v>
      </c>
    </row>
    <row r="6" customFormat="false" ht="15" hidden="false" customHeight="true" outlineLevel="0" collapsed="false">
      <c r="A6" s="5" t="s">
        <v>574</v>
      </c>
      <c r="B6" s="19" t="s">
        <v>160</v>
      </c>
      <c r="C6" s="68" t="n">
        <f aca="false">1/(1+'AMB-Cost of Capital'!$B$8)^1</f>
        <v>0.897491309504849</v>
      </c>
      <c r="D6" s="68" t="n">
        <f aca="false">1/(1+'AMB-Cost of Capital'!$B$8)^2</f>
        <v>0.805490650636728</v>
      </c>
      <c r="E6" s="68" t="n">
        <f aca="false">1/(1+'AMB-Cost of Capital'!$B$8)^3</f>
        <v>0.722920858833869</v>
      </c>
      <c r="F6" s="68" t="n">
        <f aca="false">1/(1+'AMB-Cost of Capital'!$B$8)^4</f>
        <v>0.648815188263179</v>
      </c>
      <c r="G6" s="68" t="n">
        <f aca="false">1/(1+'AMB-Cost of Capital'!$B$8)^5</f>
        <v>0.582305992940955</v>
      </c>
      <c r="H6" s="68" t="n">
        <f aca="false">1/(1+'AMB-Cost of Capital'!$B$8)^6</f>
        <v>0.522614568137099</v>
      </c>
      <c r="I6" s="68" t="n">
        <f aca="false">1/(1+'AMB-Cost of Capital'!$B$8)^7</f>
        <v>0.469042033123676</v>
      </c>
      <c r="J6" s="68" t="n">
        <f aca="false">1/(1+'AMB-Cost of Capital'!$B$8)^8</f>
        <v>0.420961148520985</v>
      </c>
      <c r="K6" s="68" t="n">
        <f aca="false">1/(1+'AMB-Cost of Capital'!$B$8)^9</f>
        <v>0.377808972436763</v>
      </c>
      <c r="L6" s="68" t="n">
        <f aca="false">1/(1+'AMB-Cost of Capital'!$B$8)^10</f>
        <v>0.339080269414952</v>
      </c>
    </row>
    <row r="7" customFormat="false" ht="15" hidden="false" customHeight="true" outlineLevel="0" collapsed="false">
      <c r="A7" s="6" t="s">
        <v>575</v>
      </c>
      <c r="B7" s="19" t="s">
        <v>160</v>
      </c>
      <c r="C7" s="23" t="n">
        <f aca="false">C5*C6</f>
        <v>-2494.76887801975</v>
      </c>
      <c r="D7" s="23" t="n">
        <f aca="false">D5*D6</f>
        <v>-931.439895874585</v>
      </c>
      <c r="E7" s="23" t="n">
        <f aca="false">E5*E6</f>
        <v>290.450279147292</v>
      </c>
      <c r="F7" s="23" t="n">
        <f aca="false">F5*F6</f>
        <v>1191.82881860406</v>
      </c>
      <c r="G7" s="23" t="n">
        <f aca="false">G5*G6</f>
        <v>1865.72027630761</v>
      </c>
      <c r="H7" s="23" t="n">
        <f aca="false">H5*H6</f>
        <v>2072.63822522001</v>
      </c>
      <c r="I7" s="23" t="n">
        <f aca="false">I5*I6</f>
        <v>2209.36772914361</v>
      </c>
      <c r="J7" s="23" t="n">
        <f aca="false">J5*J6</f>
        <v>2271.47446875538</v>
      </c>
      <c r="K7" s="23" t="n">
        <f aca="false">K5*K6</f>
        <v>2295.41223589585</v>
      </c>
      <c r="L7" s="23" t="n">
        <f aca="false">L5*L6</f>
        <v>2262.81884114491</v>
      </c>
    </row>
    <row r="9" customFormat="false" ht="15" hidden="false" customHeight="true" outlineLevel="0" collapsed="false">
      <c r="A9" s="5" t="s">
        <v>576</v>
      </c>
      <c r="C9" s="26" t="n">
        <f aca="false">SUM(C7:L7)</f>
        <v>11033.5021003244</v>
      </c>
    </row>
    <row r="10" customFormat="false" ht="15" hidden="false" customHeight="true" outlineLevel="0" collapsed="false">
      <c r="A10" s="5" t="s">
        <v>577</v>
      </c>
      <c r="C10" s="26" t="n">
        <f aca="false">'AMB-FCFF valuation'!C7*(1-'AMB-Cost of Capital'!$B$11)</f>
        <v>83508.396102167</v>
      </c>
    </row>
    <row r="11" customFormat="false" ht="15" hidden="false" customHeight="true" outlineLevel="0" collapsed="false">
      <c r="A11" s="5" t="s">
        <v>578</v>
      </c>
      <c r="C11" s="26" t="n">
        <f aca="false">C10*L6</f>
        <v>28316.0494487333</v>
      </c>
    </row>
    <row r="12" customFormat="false" ht="15" hidden="false" customHeight="true" outlineLevel="0" collapsed="false">
      <c r="A12" s="6" t="s">
        <v>579</v>
      </c>
      <c r="C12" s="23" t="n">
        <f aca="false">C9+C11</f>
        <v>39349.5515490577</v>
      </c>
    </row>
    <row r="13" customFormat="false" ht="15" hidden="false" customHeight="true" outlineLevel="0" collapsed="false">
      <c r="A13" s="5" t="s">
        <v>544</v>
      </c>
      <c r="C13" s="26" t="n">
        <f aca="false">'AMB-Assumptions'!$B$17</f>
        <v>958.6</v>
      </c>
    </row>
    <row r="14" customFormat="false" ht="15" hidden="false" customHeight="true" outlineLevel="0" collapsed="false">
      <c r="A14" s="5" t="s">
        <v>580</v>
      </c>
      <c r="C14" s="26" t="n">
        <f aca="false">-('AMB-Assumptions'!$B$16-'AMB-CCF valuation'!C4)</f>
        <v>-522.078572855588</v>
      </c>
    </row>
    <row r="15" customFormat="false" ht="15" hidden="false" customHeight="true" outlineLevel="0" collapsed="false">
      <c r="A15" s="5" t="s">
        <v>546</v>
      </c>
      <c r="C15" s="26" t="n">
        <f aca="false">'AMB-Assumptions'!$B$22</f>
        <v>614.1</v>
      </c>
    </row>
    <row r="16" customFormat="false" ht="15" hidden="false" customHeight="true" outlineLevel="0" collapsed="false">
      <c r="A16" s="5" t="s">
        <v>547</v>
      </c>
      <c r="C16" s="26" t="n">
        <f aca="false">-'AMB-Assumptions'!$B$23</f>
        <v>-3466.33</v>
      </c>
    </row>
    <row r="17" customFormat="false" ht="15" hidden="false" customHeight="true" outlineLevel="0" collapsed="false">
      <c r="A17" s="5" t="s">
        <v>548</v>
      </c>
      <c r="C17" s="26" t="n">
        <f aca="false">-'AMB-Assumptions'!$B$18</f>
        <v>-12498.92</v>
      </c>
    </row>
    <row r="18" customFormat="false" ht="15" hidden="false" customHeight="true" outlineLevel="0" collapsed="false">
      <c r="A18" s="6" t="s">
        <v>549</v>
      </c>
      <c r="C18" s="27" t="n">
        <f aca="false">SUM(C12:C17)</f>
        <v>24434.9229762021</v>
      </c>
    </row>
    <row r="19" customFormat="false" ht="15" hidden="false" customHeight="true" outlineLevel="0" collapsed="false">
      <c r="A19" s="6" t="s">
        <v>550</v>
      </c>
      <c r="C19" s="69" t="n">
        <f aca="false">C18/'AMB-Assumptions'!$B$15</f>
        <v>98.8547737527393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13" min="3" style="1" width="13"/>
  </cols>
  <sheetData>
    <row r="1" customFormat="false" ht="15" hidden="false" customHeight="true" outlineLevel="0" collapsed="false">
      <c r="A1" s="4" t="s">
        <v>199</v>
      </c>
      <c r="B1" s="4" t="s">
        <v>157</v>
      </c>
      <c r="C1" s="4" t="s">
        <v>338</v>
      </c>
      <c r="D1" s="4" t="s">
        <v>339</v>
      </c>
      <c r="E1" s="4" t="s">
        <v>340</v>
      </c>
      <c r="F1" s="4" t="s">
        <v>341</v>
      </c>
      <c r="G1" s="4" t="s">
        <v>342</v>
      </c>
      <c r="H1" s="4" t="s">
        <v>343</v>
      </c>
      <c r="I1" s="4" t="s">
        <v>344</v>
      </c>
      <c r="J1" s="4" t="s">
        <v>345</v>
      </c>
      <c r="K1" s="4" t="s">
        <v>346</v>
      </c>
      <c r="L1" s="4" t="s">
        <v>347</v>
      </c>
      <c r="M1" s="4" t="s">
        <v>327</v>
      </c>
    </row>
    <row r="2" customFormat="false" ht="15" hidden="false" customHeight="true" outlineLevel="0" collapsed="false">
      <c r="A2" s="5" t="s">
        <v>409</v>
      </c>
      <c r="B2" s="19" t="s">
        <v>160</v>
      </c>
      <c r="C2" s="26" t="n">
        <f aca="false">'AMB-Balance Sheet'!C8</f>
        <v>3113.71908241928</v>
      </c>
      <c r="D2" s="26" t="n">
        <f aca="false">'AMB-Balance Sheet'!D8</f>
        <v>3768.09482514112</v>
      </c>
      <c r="E2" s="26" t="n">
        <f aca="false">'AMB-Balance Sheet'!E8</f>
        <v>4440.25692538403</v>
      </c>
      <c r="F2" s="26" t="n">
        <f aca="false">'AMB-Balance Sheet'!F8</f>
        <v>5061.2098200347</v>
      </c>
      <c r="G2" s="26" t="n">
        <f aca="false">'AMB-Balance Sheet'!G8</f>
        <v>5679.30050798269</v>
      </c>
      <c r="H2" s="26" t="n">
        <f aca="false">'AMB-Balance Sheet'!H8</f>
        <v>6248.35752546968</v>
      </c>
      <c r="I2" s="26" t="n">
        <f aca="false">'AMB-Balance Sheet'!I8</f>
        <v>6814.29452390932</v>
      </c>
      <c r="J2" s="26" t="n">
        <f aca="false">'AMB-Balance Sheet'!J8</f>
        <v>7337.12037625543</v>
      </c>
      <c r="K2" s="26" t="n">
        <f aca="false">'AMB-Balance Sheet'!K8</f>
        <v>7865.79854248883</v>
      </c>
      <c r="L2" s="26" t="n">
        <f aca="false">'AMB-Balance Sheet'!L8</f>
        <v>8326.02206765922</v>
      </c>
      <c r="M2" s="67" t="n">
        <f aca="false">'AMB-Balance Sheet'!C13</f>
        <v>8908.3440510713</v>
      </c>
    </row>
    <row r="3" customFormat="false" ht="15" hidden="false" customHeight="true" outlineLevel="0" collapsed="false">
      <c r="A3" s="5" t="s">
        <v>403</v>
      </c>
      <c r="B3" s="19" t="s">
        <v>160</v>
      </c>
      <c r="C3" s="26" t="n">
        <f aca="false">'AMB-Balance Sheet'!C2</f>
        <v>44229.48</v>
      </c>
      <c r="D3" s="26" t="n">
        <f aca="false">'AMB-Balance Sheet'!D2</f>
        <v>50165.8917495731</v>
      </c>
      <c r="E3" s="26" t="n">
        <f aca="false">'AMB-Balance Sheet'!E2</f>
        <v>55122.5982627432</v>
      </c>
      <c r="F3" s="26" t="n">
        <f aca="false">'AMB-Balance Sheet'!F2</f>
        <v>59182.7929992477</v>
      </c>
      <c r="G3" s="26" t="n">
        <f aca="false">'AMB-Balance Sheet'!G2</f>
        <v>62418.9317641932</v>
      </c>
      <c r="H3" s="26" t="n">
        <f aca="false">'AMB-Balance Sheet'!H2</f>
        <v>64896.4413805685</v>
      </c>
      <c r="I3" s="26" t="n">
        <f aca="false">'AMB-Balance Sheet'!I2</f>
        <v>67176.3994317752</v>
      </c>
      <c r="J3" s="26" t="n">
        <f aca="false">'AMB-Balance Sheet'!J2</f>
        <v>69273.0972457562</v>
      </c>
      <c r="K3" s="26" t="n">
        <f aca="false">'AMB-Balance Sheet'!K2</f>
        <v>71202.7296140254</v>
      </c>
      <c r="L3" s="26" t="n">
        <f aca="false">'AMB-Balance Sheet'!L2</f>
        <v>72976.9376798228</v>
      </c>
      <c r="M3" s="67" t="n">
        <f aca="false">'AMB-Balance Sheet'!C14</f>
        <v>74609.6839361022</v>
      </c>
    </row>
    <row r="4" customFormat="false" ht="15" hidden="false" customHeight="true" outlineLevel="0" collapsed="false">
      <c r="A4" s="5" t="s">
        <v>581</v>
      </c>
      <c r="B4" s="19" t="s">
        <v>160</v>
      </c>
      <c r="C4" s="26" t="n">
        <f aca="false">C3*'AMB-Cost of Capital'!$B$13</f>
        <v>5030.93035906622</v>
      </c>
      <c r="D4" s="26" t="n">
        <f aca="false">D3*'AMB-Cost of Capital'!$B$13</f>
        <v>5706.17397700712</v>
      </c>
      <c r="E4" s="26" t="n">
        <f aca="false">E3*'AMB-Cost of Capital'!$B$13</f>
        <v>6269.9799561434</v>
      </c>
      <c r="F4" s="26" t="n">
        <f aca="false">F3*'AMB-Cost of Capital'!$B$13</f>
        <v>6731.81122713283</v>
      </c>
      <c r="G4" s="26" t="n">
        <f aca="false">G3*'AMB-Cost of Capital'!$B$13</f>
        <v>7099.90935441616</v>
      </c>
      <c r="H4" s="26" t="n">
        <f aca="false">H3*'AMB-Cost of Capital'!$B$13</f>
        <v>7381.71638321009</v>
      </c>
      <c r="I4" s="26" t="n">
        <f aca="false">I3*'AMB-Cost of Capital'!$B$13</f>
        <v>7641.05269413242</v>
      </c>
      <c r="J4" s="26" t="n">
        <f aca="false">J3*'AMB-Cost of Capital'!$B$13</f>
        <v>7879.54386984023</v>
      </c>
      <c r="K4" s="26" t="n">
        <f aca="false">K3*'AMB-Cost of Capital'!$B$13</f>
        <v>8099.03200452692</v>
      </c>
      <c r="L4" s="26" t="n">
        <f aca="false">L3*'AMB-Cost of Capital'!$B$13</f>
        <v>8300.84123270506</v>
      </c>
      <c r="M4" s="67" t="n">
        <f aca="false">M3*'AMB-Cost of Capital'!$B$13</f>
        <v>8486.55973333785</v>
      </c>
    </row>
    <row r="5" customFormat="false" ht="15" hidden="false" customHeight="true" outlineLevel="0" collapsed="false">
      <c r="A5" s="6" t="s">
        <v>582</v>
      </c>
      <c r="B5" s="19" t="s">
        <v>160</v>
      </c>
      <c r="C5" s="23" t="n">
        <f aca="false">C2-C4</f>
        <v>-1917.21127664693</v>
      </c>
      <c r="D5" s="23" t="n">
        <f aca="false">D2-D4</f>
        <v>-1938.079151866</v>
      </c>
      <c r="E5" s="23" t="n">
        <f aca="false">E2-E4</f>
        <v>-1829.72303075936</v>
      </c>
      <c r="F5" s="23" t="n">
        <f aca="false">F2-F4</f>
        <v>-1670.60140709813</v>
      </c>
      <c r="G5" s="23" t="n">
        <f aca="false">G2-G4</f>
        <v>-1420.60884643347</v>
      </c>
      <c r="H5" s="23" t="n">
        <f aca="false">H2-H4</f>
        <v>-1133.35885774041</v>
      </c>
      <c r="I5" s="23" t="n">
        <f aca="false">I2-I4</f>
        <v>-826.758170223101</v>
      </c>
      <c r="J5" s="23" t="n">
        <f aca="false">J2-J4</f>
        <v>-542.423493584803</v>
      </c>
      <c r="K5" s="23" t="n">
        <f aca="false">K2-K4</f>
        <v>-233.233462038089</v>
      </c>
      <c r="L5" s="23" t="n">
        <f aca="false">L2-L4</f>
        <v>25.1808349541589</v>
      </c>
      <c r="M5" s="67" t="n">
        <f aca="false">M2-M4</f>
        <v>421.784317733456</v>
      </c>
    </row>
    <row r="6" customFormat="false" ht="15" hidden="false" customHeight="true" outlineLevel="0" collapsed="false">
      <c r="A6" s="5" t="s">
        <v>538</v>
      </c>
      <c r="B6" s="19" t="s">
        <v>160</v>
      </c>
      <c r="C6" s="68" t="n">
        <f aca="false">1/(1+'AMB-Cost of Capital'!$B$13)^1</f>
        <v>0.897870717633186</v>
      </c>
      <c r="D6" s="68" t="n">
        <f aca="false">1/(1+'AMB-Cost of Capital'!$B$13)^2</f>
        <v>0.806171825583132</v>
      </c>
      <c r="E6" s="68" t="n">
        <f aca="false">1/(1+'AMB-Cost of Capital'!$B$13)^3</f>
        <v>0.723838075571982</v>
      </c>
      <c r="F6" s="68" t="n">
        <f aca="false">1/(1+'AMB-Cost of Capital'!$B$13)^4</f>
        <v>0.64991301236404</v>
      </c>
      <c r="G6" s="68" t="n">
        <f aca="false">1/(1+'AMB-Cost of Capital'!$B$13)^5</f>
        <v>0.583537862810446</v>
      </c>
      <c r="H6" s="68" t="n">
        <f aca="false">1/(1+'AMB-Cost of Capital'!$B$13)^6</f>
        <v>0.52394155964775</v>
      </c>
      <c r="I6" s="68" t="n">
        <f aca="false">1/(1+'AMB-Cost of Capital'!$B$13)^7</f>
        <v>0.470431784158776</v>
      </c>
      <c r="J6" s="68" t="n">
        <f aca="false">1/(1+'AMB-Cost of Capital'!$B$13)^8</f>
        <v>0.4223869236401</v>
      </c>
      <c r="K6" s="68" t="n">
        <f aca="false">1/(1+'AMB-Cost of Capital'!$B$13)^9</f>
        <v>0.37924885024761</v>
      </c>
      <c r="L6" s="68" t="n">
        <f aca="false">1/(1+'AMB-Cost of Capital'!$B$13)^10</f>
        <v>0.340516437333383</v>
      </c>
    </row>
    <row r="7" customFormat="false" ht="15" hidden="false" customHeight="true" outlineLevel="0" collapsed="false">
      <c r="A7" s="6" t="s">
        <v>583</v>
      </c>
      <c r="B7" s="19" t="s">
        <v>160</v>
      </c>
      <c r="C7" s="23" t="n">
        <f aca="false">C5*C6</f>
        <v>-1721.40786481742</v>
      </c>
      <c r="D7" s="23" t="n">
        <f aca="false">D5*D6</f>
        <v>-1562.42480798442</v>
      </c>
      <c r="E7" s="23" t="n">
        <f aca="false">E5*E6</f>
        <v>-1324.42319741459</v>
      </c>
      <c r="F7" s="23" t="n">
        <f aca="false">F5*F6</f>
        <v>-1085.74559294675</v>
      </c>
      <c r="G7" s="23" t="n">
        <f aca="false">G5*G6</f>
        <v>-828.979050137398</v>
      </c>
      <c r="H7" s="23" t="n">
        <f aca="false">H5*H6</f>
        <v>-593.813807565104</v>
      </c>
      <c r="I7" s="23" t="n">
        <f aca="false">I5*I6</f>
        <v>-388.933321085899</v>
      </c>
      <c r="J7" s="23" t="n">
        <f aca="false">J5*J6</f>
        <v>-229.1125907654</v>
      </c>
      <c r="K7" s="23" t="n">
        <f aca="false">K5*K6</f>
        <v>-88.4535223172149</v>
      </c>
      <c r="L7" s="23" t="n">
        <f aca="false">L5*L6</f>
        <v>8.57448820767008</v>
      </c>
    </row>
    <row r="9" customFormat="false" ht="15" hidden="false" customHeight="true" outlineLevel="0" collapsed="false">
      <c r="A9" s="5" t="s">
        <v>403</v>
      </c>
      <c r="C9" s="26" t="n">
        <f aca="false">C3</f>
        <v>44229.48</v>
      </c>
    </row>
    <row r="10" customFormat="false" ht="15" hidden="false" customHeight="true" outlineLevel="0" collapsed="false">
      <c r="A10" s="5" t="s">
        <v>584</v>
      </c>
      <c r="C10" s="26" t="n">
        <f aca="false">SUM(C7:L7)</f>
        <v>-7814.71926682653</v>
      </c>
    </row>
    <row r="11" customFormat="false" ht="15" hidden="false" customHeight="true" outlineLevel="0" collapsed="false">
      <c r="A11" s="5" t="s">
        <v>585</v>
      </c>
      <c r="C11" s="26" t="n">
        <f aca="false">M5/('AMB-Cost of Capital'!$B$13-'AMB-Assumptions'!$B$42)</f>
        <v>9628.440461506</v>
      </c>
    </row>
    <row r="12" customFormat="false" ht="15" hidden="false" customHeight="true" outlineLevel="0" collapsed="false">
      <c r="A12" s="5" t="s">
        <v>586</v>
      </c>
      <c r="C12" s="26" t="n">
        <f aca="false">C11*L6</f>
        <v>3278.64224302861</v>
      </c>
    </row>
    <row r="13" customFormat="false" ht="15" hidden="false" customHeight="true" outlineLevel="0" collapsed="false">
      <c r="A13" s="6" t="s">
        <v>543</v>
      </c>
      <c r="C13" s="27" t="n">
        <f aca="false">C9+C10+C12</f>
        <v>39693.4029762021</v>
      </c>
    </row>
    <row r="14" customFormat="false" ht="15" hidden="false" customHeight="true" outlineLevel="0" collapsed="false">
      <c r="A14" s="6" t="s">
        <v>549</v>
      </c>
      <c r="C14" s="27" t="n">
        <f aca="false">C13+'AMB-Assumptions'!$B$17+'AMB-Assumptions'!$B$22-'AMB-Assumptions'!$B$16-'AMB-Assumptions'!$B$23-'AMB-Assumptions'!$B$18</f>
        <v>24434.9229762021</v>
      </c>
    </row>
    <row r="15" customFormat="false" ht="15" hidden="false" customHeight="true" outlineLevel="0" collapsed="false">
      <c r="A15" s="6" t="s">
        <v>550</v>
      </c>
      <c r="C15" s="69" t="n">
        <f aca="false">C14/'AMB-Assumptions'!$B$15</f>
        <v>98.8547737527392</v>
      </c>
    </row>
    <row r="17" customFormat="false" ht="45" hidden="false" customHeight="true" outlineLevel="0" collapsed="false">
      <c r="A17" s="13" t="s">
        <v>587</v>
      </c>
      <c r="B17" s="13"/>
      <c r="C17" s="13"/>
      <c r="D17" s="13"/>
      <c r="E17" s="13"/>
      <c r="F17" s="13"/>
      <c r="G17" s="13"/>
      <c r="H17" s="13"/>
      <c r="I17" s="13"/>
      <c r="J17" s="13"/>
      <c r="K17" s="13"/>
      <c r="L17" s="13"/>
    </row>
  </sheetData>
  <mergeCells count="1">
    <mergeCell ref="A17:L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38"/>
  </cols>
  <sheetData>
    <row r="1" customFormat="false" ht="15.75" hidden="false" customHeight="true" outlineLevel="0" collapsed="false">
      <c r="A1" s="25" t="s">
        <v>588</v>
      </c>
    </row>
    <row r="3" customFormat="false" ht="15" hidden="false" customHeight="true" outlineLevel="0" collapsed="false">
      <c r="A3" s="4" t="s">
        <v>589</v>
      </c>
      <c r="B3" s="4" t="s">
        <v>590</v>
      </c>
      <c r="C3" s="4" t="s">
        <v>215</v>
      </c>
      <c r="D3" s="4" t="s">
        <v>591</v>
      </c>
      <c r="E3" s="4" t="s">
        <v>592</v>
      </c>
    </row>
    <row r="4" customFormat="false" ht="15" hidden="false" customHeight="true" outlineLevel="0" collapsed="false">
      <c r="A4" s="6" t="s">
        <v>17</v>
      </c>
      <c r="B4" s="5" t="s">
        <v>593</v>
      </c>
      <c r="C4" s="35" t="n">
        <f aca="false">'AMB-FCFF valuation'!C9</f>
        <v>39693.4029762021</v>
      </c>
      <c r="D4" s="71" t="n">
        <f aca="false">'AMB-FCFF valuation'!C16</f>
        <v>98.8547737527392</v>
      </c>
      <c r="E4" s="72" t="n">
        <f aca="false">D4-D4</f>
        <v>0</v>
      </c>
    </row>
    <row r="5" customFormat="false" ht="15" hidden="false" customHeight="true" outlineLevel="0" collapsed="false">
      <c r="A5" s="6" t="s">
        <v>19</v>
      </c>
      <c r="B5" s="5" t="s">
        <v>594</v>
      </c>
      <c r="C5" s="35" t="n">
        <f aca="false">'AMB-CCF valuation'!C14</f>
        <v>39693.4029762021</v>
      </c>
      <c r="D5" s="71" t="n">
        <f aca="false">'AMB-CCF valuation'!C16</f>
        <v>98.8547737527393</v>
      </c>
      <c r="E5" s="72" t="n">
        <f aca="false">D5-D4</f>
        <v>0</v>
      </c>
    </row>
    <row r="6" customFormat="false" ht="15" hidden="false" customHeight="true" outlineLevel="0" collapsed="false">
      <c r="A6" s="6" t="s">
        <v>21</v>
      </c>
      <c r="B6" s="5" t="s">
        <v>594</v>
      </c>
      <c r="C6" s="35" t="n">
        <f aca="false">'AMB-APV valuation'!C14</f>
        <v>39693.4029762021</v>
      </c>
      <c r="D6" s="71" t="n">
        <f aca="false">'AMB-APV valuation'!C16</f>
        <v>98.8547737527392</v>
      </c>
      <c r="E6" s="72" t="n">
        <f aca="false">D6-D4</f>
        <v>0</v>
      </c>
    </row>
    <row r="7" customFormat="false" ht="15" hidden="false" customHeight="true" outlineLevel="0" collapsed="false">
      <c r="A7" s="6" t="s">
        <v>25</v>
      </c>
      <c r="B7" s="5" t="s">
        <v>593</v>
      </c>
      <c r="C7" s="35" t="n">
        <f aca="false">'AMB-EVA'!C13</f>
        <v>39693.4029762021</v>
      </c>
      <c r="D7" s="71" t="n">
        <f aca="false">'AMB-EVA'!C15</f>
        <v>98.8547737527392</v>
      </c>
      <c r="E7" s="72" t="n">
        <f aca="false">D7-D4</f>
        <v>0</v>
      </c>
    </row>
    <row r="8" customFormat="false" ht="15" hidden="false" customHeight="true" outlineLevel="0" collapsed="false">
      <c r="A8" s="6" t="s">
        <v>23</v>
      </c>
      <c r="B8" s="5" t="s">
        <v>595</v>
      </c>
      <c r="C8" s="3" t="s">
        <v>596</v>
      </c>
      <c r="D8" s="71" t="n">
        <f aca="false">'AMB-FCFE valuation'!C19</f>
        <v>98.8547737527393</v>
      </c>
      <c r="E8" s="72" t="n">
        <f aca="false">D8-D4</f>
        <v>0</v>
      </c>
    </row>
    <row r="10" customFormat="false" ht="15" hidden="false" customHeight="true" outlineLevel="0" collapsed="false">
      <c r="A10" s="6" t="s">
        <v>597</v>
      </c>
      <c r="D10" s="73" t="n">
        <f aca="false">MAX(ABS(E4),ABS(E5),ABS(E6),ABS(E7),ABS(E8))</f>
        <v>0</v>
      </c>
    </row>
    <row r="11" customFormat="false" ht="15" hidden="false" customHeight="true" outlineLevel="0" collapsed="false">
      <c r="A11" s="6" t="s">
        <v>598</v>
      </c>
      <c r="D11" s="32" t="str">
        <f aca="false">IF(D10&lt;0.01,"RECONCILED","DOES NOT RECONCILE")</f>
        <v>RECONCILED</v>
      </c>
    </row>
    <row r="13" customFormat="false" ht="30" hidden="false" customHeight="true" outlineLevel="0" collapsed="false">
      <c r="A13" s="13" t="s">
        <v>599</v>
      </c>
      <c r="B13" s="13"/>
      <c r="C13" s="13"/>
      <c r="D13" s="13"/>
      <c r="E13" s="13"/>
    </row>
  </sheetData>
  <mergeCells count="1">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3" min="2" style="1" width="16"/>
    <col collapsed="false" customWidth="true" hidden="false" outlineLevel="0" max="4" min="4" style="1" width="58"/>
  </cols>
  <sheetData>
    <row r="1" customFormat="false" ht="15.75" hidden="false" customHeight="true" outlineLevel="0" collapsed="false">
      <c r="A1" s="25" t="s">
        <v>600</v>
      </c>
    </row>
    <row r="3" customFormat="false" ht="15" hidden="false" customHeight="true" outlineLevel="0" collapsed="false">
      <c r="A3" s="22" t="s">
        <v>601</v>
      </c>
      <c r="B3" s="22"/>
      <c r="C3" s="22"/>
      <c r="D3" s="22"/>
    </row>
    <row r="4" customFormat="false" ht="15" hidden="false" customHeight="true" outlineLevel="0" collapsed="false">
      <c r="A4" s="6" t="s">
        <v>328</v>
      </c>
      <c r="B4" s="74" t="n">
        <f aca="false">'AMB-Assumptions'!B38</f>
        <v>0.065</v>
      </c>
      <c r="D4" s="39" t="s">
        <v>329</v>
      </c>
    </row>
    <row r="5" customFormat="false" ht="15" hidden="false" customHeight="true" outlineLevel="0" collapsed="false">
      <c r="A5" s="6" t="s">
        <v>330</v>
      </c>
      <c r="B5" s="74" t="n">
        <f aca="false">'AMB-Assumptions'!B39</f>
        <v>0.04</v>
      </c>
      <c r="D5" s="39" t="s">
        <v>331</v>
      </c>
    </row>
    <row r="6" customFormat="false" ht="15" hidden="false" customHeight="true" outlineLevel="0" collapsed="false">
      <c r="A6" s="6" t="s">
        <v>332</v>
      </c>
      <c r="B6" s="74" t="n">
        <f aca="false">'AMB-Assumptions'!B40</f>
        <v>0.1076</v>
      </c>
      <c r="D6" s="39" t="s">
        <v>602</v>
      </c>
    </row>
    <row r="7" customFormat="false" ht="30" hidden="false" customHeight="true" outlineLevel="0" collapsed="false">
      <c r="A7" s="6" t="s">
        <v>603</v>
      </c>
      <c r="B7" s="74" t="n">
        <f aca="false">'AMB-Assumptions'!B41</f>
        <v>0.65</v>
      </c>
      <c r="D7" s="39" t="s">
        <v>604</v>
      </c>
    </row>
    <row r="8" customFormat="false" ht="15" hidden="false" customHeight="true" outlineLevel="0" collapsed="false">
      <c r="A8" s="6" t="s">
        <v>335</v>
      </c>
      <c r="B8" s="74" t="n">
        <f aca="false">'AMB-Assumptions'!B42</f>
        <v>0.06994</v>
      </c>
      <c r="D8" s="39" t="s">
        <v>605</v>
      </c>
    </row>
    <row r="10" customFormat="false" ht="15" hidden="false" customHeight="true" outlineLevel="0" collapsed="false">
      <c r="A10" s="22" t="s">
        <v>606</v>
      </c>
      <c r="B10" s="22"/>
      <c r="C10" s="22"/>
      <c r="D10" s="22"/>
    </row>
    <row r="11" customFormat="false" ht="15" hidden="false" customHeight="true" outlineLevel="0" collapsed="false">
      <c r="A11" s="6" t="s">
        <v>412</v>
      </c>
      <c r="B11" s="35" t="n">
        <f aca="false">'AMB-Balance Sheet'!C13</f>
        <v>8908.3440510713</v>
      </c>
    </row>
    <row r="12" customFormat="false" ht="30" hidden="false" customHeight="true" outlineLevel="0" collapsed="false">
      <c r="A12" s="6" t="s">
        <v>413</v>
      </c>
      <c r="B12" s="35" t="n">
        <f aca="false">'AMB-Balance Sheet'!C14</f>
        <v>74609.6839361022</v>
      </c>
      <c r="D12" s="39" t="s">
        <v>607</v>
      </c>
    </row>
    <row r="13" customFormat="false" ht="15" hidden="false" customHeight="true" outlineLevel="0" collapsed="false">
      <c r="A13" s="6" t="s">
        <v>414</v>
      </c>
      <c r="B13" s="35" t="n">
        <f aca="false">'AMB-Balance Sheet'!C15</f>
        <v>5218.20129449099</v>
      </c>
    </row>
    <row r="14" customFormat="false" ht="15" hidden="false" customHeight="true" outlineLevel="0" collapsed="false">
      <c r="A14" s="6" t="s">
        <v>415</v>
      </c>
      <c r="B14" s="35" t="n">
        <f aca="false">'AMB-Balance Sheet'!C16</f>
        <v>3690.14275658032</v>
      </c>
    </row>
    <row r="15" customFormat="false" ht="15" hidden="false" customHeight="true" outlineLevel="0" collapsed="false">
      <c r="A15" s="6" t="s">
        <v>608</v>
      </c>
      <c r="B15" s="33" t="n">
        <f aca="false">'AMB-Balance Sheet'!C17</f>
        <v>0.119399300212834</v>
      </c>
    </row>
    <row r="16" customFormat="false" ht="30" hidden="false" customHeight="true" outlineLevel="0" collapsed="false">
      <c r="A16" s="6" t="s">
        <v>609</v>
      </c>
      <c r="B16" s="33" t="n">
        <f aca="false">'AMB-Balance Sheet'!C18</f>
        <v>0.585765577146008</v>
      </c>
      <c r="D16" s="39" t="s">
        <v>610</v>
      </c>
    </row>
    <row r="17" customFormat="false" ht="15" hidden="false" customHeight="true" outlineLevel="0" collapsed="false">
      <c r="A17" s="6" t="s">
        <v>611</v>
      </c>
      <c r="B17" s="35" t="n">
        <f aca="false">'AMB-FCFF valuation'!C7</f>
        <v>84238.1243976082</v>
      </c>
    </row>
    <row r="19" customFormat="false" ht="15" hidden="false" customHeight="true" outlineLevel="0" collapsed="false">
      <c r="A19" s="22" t="s">
        <v>612</v>
      </c>
      <c r="B19" s="22"/>
      <c r="C19" s="22"/>
      <c r="D19" s="22"/>
    </row>
    <row r="20" customFormat="false" ht="15" hidden="false" customHeight="true" outlineLevel="0" collapsed="false">
      <c r="A20" s="6" t="s">
        <v>613</v>
      </c>
      <c r="B20" s="35" t="n">
        <f aca="false">'AMB-P&amp;L'!L17*(1+'AMB-Assumptions'!B42)</f>
        <v>18172.8724324929</v>
      </c>
    </row>
    <row r="21" customFormat="false" ht="15" hidden="false" customHeight="true" outlineLevel="0" collapsed="false">
      <c r="A21" s="6" t="s">
        <v>614</v>
      </c>
      <c r="B21" s="31" t="n">
        <f aca="false">B19/B20</f>
        <v>0</v>
      </c>
    </row>
    <row r="22" customFormat="false" ht="15" hidden="false" customHeight="true" outlineLevel="0" collapsed="false">
      <c r="A22" s="6" t="s">
        <v>615</v>
      </c>
      <c r="B22" s="75" t="n">
        <v>19.37</v>
      </c>
    </row>
    <row r="23" customFormat="false" ht="15" hidden="false" customHeight="true" outlineLevel="0" collapsed="false">
      <c r="A23" s="6" t="s">
        <v>616</v>
      </c>
      <c r="B23" s="59" t="n">
        <v>0.1099</v>
      </c>
    </row>
    <row r="25" customFormat="false" ht="75" hidden="false" customHeight="true" outlineLevel="0" collapsed="false">
      <c r="A25" s="29" t="s">
        <v>617</v>
      </c>
      <c r="B25" s="29"/>
      <c r="C25" s="29"/>
      <c r="D25" s="29"/>
    </row>
    <row r="28" customFormat="false" ht="15" hidden="false" customHeight="true" outlineLevel="0" collapsed="false">
      <c r="A28" s="8" t="s">
        <v>618</v>
      </c>
      <c r="B28" s="8"/>
      <c r="C28" s="8"/>
      <c r="D28" s="8"/>
    </row>
    <row r="29" customFormat="false" ht="60" hidden="false" customHeight="true" outlineLevel="0" collapsed="false">
      <c r="A29" s="13" t="s">
        <v>619</v>
      </c>
      <c r="B29" s="13"/>
      <c r="C29" s="13"/>
      <c r="D29" s="13"/>
    </row>
    <row r="32" customFormat="false" ht="15" hidden="false" customHeight="true" outlineLevel="0" collapsed="false">
      <c r="A32" s="6" t="s">
        <v>620</v>
      </c>
      <c r="B32" s="65" t="n">
        <f aca="false">'AMB-Balance Sheet'!C13/('AMB-P&amp;L'!L17*(1+'AMB-Assumptions'!$B$42))</f>
        <v>0.490200109210215</v>
      </c>
    </row>
    <row r="33" customFormat="false" ht="15" hidden="false" customHeight="true" outlineLevel="0" collapsed="false">
      <c r="A33" s="6" t="s">
        <v>621</v>
      </c>
      <c r="B33" s="76" t="n">
        <f aca="false">'AMB-Balance Sheet'!C17</f>
        <v>0.119399300212834</v>
      </c>
    </row>
    <row r="34" customFormat="false" ht="15" hidden="false" customHeight="true" outlineLevel="0" collapsed="false">
      <c r="A34" s="6" t="s">
        <v>622</v>
      </c>
      <c r="B34" s="76" t="n">
        <f aca="false">'AMB-Assumptions'!$B$42</f>
        <v>0.06994</v>
      </c>
    </row>
    <row r="35" customFormat="false" ht="15" hidden="false" customHeight="true" outlineLevel="0" collapsed="false">
      <c r="A35" s="6" t="s">
        <v>623</v>
      </c>
      <c r="B35" s="24" t="n">
        <f aca="false">B34/B33</f>
        <v>0.585765577146008</v>
      </c>
    </row>
    <row r="36" customFormat="false" ht="15" hidden="false" customHeight="true" outlineLevel="0" collapsed="false">
      <c r="A36" s="6" t="s">
        <v>593</v>
      </c>
      <c r="B36" s="76" t="n">
        <f aca="false">'AMB-Cost of Capital'!$B$14</f>
        <v>0.113920506741639</v>
      </c>
    </row>
    <row r="37" customFormat="false" ht="15" hidden="false" customHeight="true" outlineLevel="0" collapsed="false">
      <c r="A37" s="6" t="s">
        <v>624</v>
      </c>
      <c r="B37" s="31" t="n">
        <f aca="false">B32*(1-B35)/(B36-B34)</f>
        <v>4.61699453611364</v>
      </c>
    </row>
    <row r="38" customFormat="false" ht="15" hidden="false" customHeight="true" outlineLevel="0" collapsed="false">
      <c r="A38" s="6" t="s">
        <v>625</v>
      </c>
      <c r="B38" s="31" t="n">
        <f aca="false">'AMB-FCFF valuation'!C18</f>
        <v>4.63537752276253</v>
      </c>
    </row>
    <row r="39" customFormat="false" ht="15" hidden="false" customHeight="true" outlineLevel="0" collapsed="false">
      <c r="A39" s="6" t="s">
        <v>626</v>
      </c>
      <c r="B39" s="65" t="n">
        <f aca="false">B37-B38</f>
        <v>-0.0183829866488878</v>
      </c>
    </row>
    <row r="40" customFormat="false" ht="15" hidden="false" customHeight="true" outlineLevel="0" collapsed="false">
      <c r="A40" s="6" t="s">
        <v>627</v>
      </c>
      <c r="B40" s="77" t="str">
        <f aca="false">IF(ABS(B39)&lt;0.25,"PASS: the multiple is consistent with our own fundamentals","REVIEW")</f>
        <v>PASS: the multiple is consistent with our own fundamentals</v>
      </c>
    </row>
    <row r="42" customFormat="false" ht="60" hidden="false" customHeight="true" outlineLevel="0" collapsed="false">
      <c r="A42" s="29" t="s">
        <v>628</v>
      </c>
      <c r="B42" s="29"/>
      <c r="C42" s="29"/>
      <c r="D42" s="29"/>
    </row>
  </sheetData>
  <mergeCells count="7">
    <mergeCell ref="A3:D3"/>
    <mergeCell ref="A10:D10"/>
    <mergeCell ref="A19:D19"/>
    <mergeCell ref="A25:D25"/>
    <mergeCell ref="A28:D28"/>
    <mergeCell ref="A29:D29"/>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3"/>
  </cols>
  <sheetData>
    <row r="1" customFormat="false" ht="15.75" hidden="false" customHeight="true" outlineLevel="0" collapsed="false">
      <c r="A1" s="25" t="s">
        <v>31</v>
      </c>
    </row>
    <row r="3" customFormat="false" ht="15" hidden="false" customHeight="true" outlineLevel="0" collapsed="false">
      <c r="A3" s="8" t="s">
        <v>629</v>
      </c>
      <c r="B3" s="8"/>
      <c r="C3" s="8"/>
      <c r="D3" s="8"/>
      <c r="E3" s="8"/>
      <c r="F3" s="8"/>
      <c r="G3" s="8"/>
      <c r="H3" s="8"/>
    </row>
    <row r="4" customFormat="false" ht="15" hidden="false" customHeight="true" outlineLevel="0" collapsed="false">
      <c r="A4" s="4" t="s">
        <v>630</v>
      </c>
      <c r="B4" s="4" t="s">
        <v>631</v>
      </c>
      <c r="C4" s="4" t="s">
        <v>632</v>
      </c>
      <c r="D4" s="4" t="s">
        <v>633</v>
      </c>
      <c r="E4" s="4" t="s">
        <v>634</v>
      </c>
      <c r="F4" s="4" t="s">
        <v>635</v>
      </c>
      <c r="G4" s="4"/>
      <c r="H4" s="4"/>
    </row>
    <row r="5" customFormat="false" ht="15" hidden="false" customHeight="true" outlineLevel="0" collapsed="false">
      <c r="A5" s="42" t="n">
        <v>0.09</v>
      </c>
      <c r="B5" s="50" t="n">
        <f aca="false">IF($A5&lt;=0.02,"",(('AMB-P&amp;L'!C29/(1+$A5)^1+'AMB-P&amp;L'!D29/(1+$A5)^2+'AMB-P&amp;L'!E29/(1+$A5)^3+'AMB-P&amp;L'!F29/(1+$A5)^4+'AMB-P&amp;L'!G29/(1+$A5)^5+'AMB-P&amp;L'!H29/(1+$A5)^6+'AMB-P&amp;L'!I29/(1+$A5)^7+'AMB-P&amp;L'!J29/(1+$A5)^8+'AMB-P&amp;L'!K29/(1+$A5)^9+'AMB-P&amp;L'!L29/(1+$A5)^10+(('AMB-P&amp;L'!L26*(1+0.02))-0.02*'AMB-Balance Sheet'!L5)/($A5-0.02)/(1+$A5)^10)+'AMB-Assumptions'!$B$17+'AMB-Assumptions'!$B$22-'AMB-Assumptions'!$B$16-'AMB-Assumptions'!$B$23-'AMB-Assumptions'!$B$18)/'AMB-Assumptions'!$B$15)</f>
        <v>163.260767430737</v>
      </c>
      <c r="C5" s="50" t="n">
        <f aca="false">IF($A5&lt;=0.03,"",(('AMB-P&amp;L'!C29/(1+$A5)^1+'AMB-P&amp;L'!D29/(1+$A5)^2+'AMB-P&amp;L'!E29/(1+$A5)^3+'AMB-P&amp;L'!F29/(1+$A5)^4+'AMB-P&amp;L'!G29/(1+$A5)^5+'AMB-P&amp;L'!H29/(1+$A5)^6+'AMB-P&amp;L'!I29/(1+$A5)^7+'AMB-P&amp;L'!J29/(1+$A5)^8+'AMB-P&amp;L'!K29/(1+$A5)^9+'AMB-P&amp;L'!L29/(1+$A5)^10+(('AMB-P&amp;L'!L26*(1+0.03))-0.03*'AMB-Balance Sheet'!L5)/($A5-0.03)/(1+$A5)^10)+'AMB-Assumptions'!$B$17+'AMB-Assumptions'!$B$22-'AMB-Assumptions'!$B$16-'AMB-Assumptions'!$B$23-'AMB-Assumptions'!$B$18)/'AMB-Assumptions'!$B$15)</f>
        <v>172.865273317951</v>
      </c>
      <c r="D5" s="50" t="n">
        <f aca="false">IF($A5&lt;=0.04,"",(('AMB-P&amp;L'!C29/(1+$A5)^1+'AMB-P&amp;L'!D29/(1+$A5)^2+'AMB-P&amp;L'!E29/(1+$A5)^3+'AMB-P&amp;L'!F29/(1+$A5)^4+'AMB-P&amp;L'!G29/(1+$A5)^5+'AMB-P&amp;L'!H29/(1+$A5)^6+'AMB-P&amp;L'!I29/(1+$A5)^7+'AMB-P&amp;L'!J29/(1+$A5)^8+'AMB-P&amp;L'!K29/(1+$A5)^9+'AMB-P&amp;L'!L29/(1+$A5)^10+(('AMB-P&amp;L'!L26*(1+0.04))-0.04*'AMB-Balance Sheet'!L5)/($A5-0.04)/(1+$A5)^10)+'AMB-Assumptions'!$B$17+'AMB-Assumptions'!$B$22-'AMB-Assumptions'!$B$16-'AMB-Assumptions'!$B$23-'AMB-Assumptions'!$B$18)/'AMB-Assumptions'!$B$15)</f>
        <v>186.311581560052</v>
      </c>
      <c r="E5" s="50" t="n">
        <f aca="false">IF($A5&lt;=0.05,"",(('AMB-P&amp;L'!C29/(1+$A5)^1+'AMB-P&amp;L'!D29/(1+$A5)^2+'AMB-P&amp;L'!E29/(1+$A5)^3+'AMB-P&amp;L'!F29/(1+$A5)^4+'AMB-P&amp;L'!G29/(1+$A5)^5+'AMB-P&amp;L'!H29/(1+$A5)^6+'AMB-P&amp;L'!I29/(1+$A5)^7+'AMB-P&amp;L'!J29/(1+$A5)^8+'AMB-P&amp;L'!K29/(1+$A5)^9+'AMB-P&amp;L'!L29/(1+$A5)^10+(('AMB-P&amp;L'!L26*(1+0.05))-0.05*'AMB-Balance Sheet'!L5)/($A5-0.05)/(1+$A5)^10)+'AMB-Assumptions'!$B$17+'AMB-Assumptions'!$B$22-'AMB-Assumptions'!$B$16-'AMB-Assumptions'!$B$23-'AMB-Assumptions'!$B$18)/'AMB-Assumptions'!$B$15)</f>
        <v>206.481043923203</v>
      </c>
      <c r="F5" s="50" t="n">
        <f aca="false">IF($A5&lt;=0.06,"",(('AMB-P&amp;L'!C29/(1+$A5)^1+'AMB-P&amp;L'!D29/(1+$A5)^2+'AMB-P&amp;L'!E29/(1+$A5)^3+'AMB-P&amp;L'!F29/(1+$A5)^4+'AMB-P&amp;L'!G29/(1+$A5)^5+'AMB-P&amp;L'!H29/(1+$A5)^6+'AMB-P&amp;L'!I29/(1+$A5)^7+'AMB-P&amp;L'!J29/(1+$A5)^8+'AMB-P&amp;L'!K29/(1+$A5)^9+'AMB-P&amp;L'!L29/(1+$A5)^10+(('AMB-P&amp;L'!L26*(1+0.06))-0.06*'AMB-Balance Sheet'!L5)/($A5-0.06)/(1+$A5)^10)+'AMB-Assumptions'!$B$17+'AMB-Assumptions'!$B$22-'AMB-Assumptions'!$B$16-'AMB-Assumptions'!$B$23-'AMB-Assumptions'!$B$18)/'AMB-Assumptions'!$B$15)</f>
        <v>240.096814528455</v>
      </c>
    </row>
    <row r="6" customFormat="false" ht="15" hidden="false" customHeight="true" outlineLevel="0" collapsed="false">
      <c r="A6" s="42" t="n">
        <v>0.1</v>
      </c>
      <c r="B6" s="50" t="n">
        <f aca="false">IF($A6&lt;=0.02,"",(('AMB-P&amp;L'!C29/(1+$A6)^1+'AMB-P&amp;L'!D29/(1+$A6)^2+'AMB-P&amp;L'!E29/(1+$A6)^3+'AMB-P&amp;L'!F29/(1+$A6)^4+'AMB-P&amp;L'!G29/(1+$A6)^5+'AMB-P&amp;L'!H29/(1+$A6)^6+'AMB-P&amp;L'!I29/(1+$A6)^7+'AMB-P&amp;L'!J29/(1+$A6)^8+'AMB-P&amp;L'!K29/(1+$A6)^9+'AMB-P&amp;L'!L29/(1+$A6)^10+(('AMB-P&amp;L'!L26*(1+0.02))-0.02*'AMB-Balance Sheet'!L5)/($A6-0.02)/(1+$A6)^10)+'AMB-Assumptions'!$B$17+'AMB-Assumptions'!$B$22-'AMB-Assumptions'!$B$16-'AMB-Assumptions'!$B$23-'AMB-Assumptions'!$B$18)/'AMB-Assumptions'!$B$15)</f>
        <v>124.595543361327</v>
      </c>
      <c r="C6" s="50" t="n">
        <f aca="false">IF($A6&lt;=0.03,"",(('AMB-P&amp;L'!C29/(1+$A6)^1+'AMB-P&amp;L'!D29/(1+$A6)^2+'AMB-P&amp;L'!E29/(1+$A6)^3+'AMB-P&amp;L'!F29/(1+$A6)^4+'AMB-P&amp;L'!G29/(1+$A6)^5+'AMB-P&amp;L'!H29/(1+$A6)^6+'AMB-P&amp;L'!I29/(1+$A6)^7+'AMB-P&amp;L'!J29/(1+$A6)^8+'AMB-P&amp;L'!K29/(1+$A6)^9+'AMB-P&amp;L'!L29/(1+$A6)^10+(('AMB-P&amp;L'!L26*(1+0.03))-0.03*'AMB-Balance Sheet'!L5)/($A6-0.03)/(1+$A6)^10)+'AMB-Assumptions'!$B$17+'AMB-Assumptions'!$B$22-'AMB-Assumptions'!$B$16-'AMB-Assumptions'!$B$23-'AMB-Assumptions'!$B$18)/'AMB-Assumptions'!$B$15)</f>
        <v>129.32402226485</v>
      </c>
      <c r="D6" s="50" t="n">
        <f aca="false">IF($A6&lt;=0.04,"",(('AMB-P&amp;L'!C29/(1+$A6)^1+'AMB-P&amp;L'!D29/(1+$A6)^2+'AMB-P&amp;L'!E29/(1+$A6)^3+'AMB-P&amp;L'!F29/(1+$A6)^4+'AMB-P&amp;L'!G29/(1+$A6)^5+'AMB-P&amp;L'!H29/(1+$A6)^6+'AMB-P&amp;L'!I29/(1+$A6)^7+'AMB-P&amp;L'!J29/(1+$A6)^8+'AMB-P&amp;L'!K29/(1+$A6)^9+'AMB-P&amp;L'!L29/(1+$A6)^10+(('AMB-P&amp;L'!L26*(1+0.04))-0.04*'AMB-Balance Sheet'!L5)/($A6-0.04)/(1+$A6)^10)+'AMB-Assumptions'!$B$17+'AMB-Assumptions'!$B$22-'AMB-Assumptions'!$B$16-'AMB-Assumptions'!$B$23-'AMB-Assumptions'!$B$18)/'AMB-Assumptions'!$B$15)</f>
        <v>135.628660802881</v>
      </c>
      <c r="E6" s="50" t="n">
        <f aca="false">IF($A6&lt;=0.05,"",(('AMB-P&amp;L'!C29/(1+$A6)^1+'AMB-P&amp;L'!D29/(1+$A6)^2+'AMB-P&amp;L'!E29/(1+$A6)^3+'AMB-P&amp;L'!F29/(1+$A6)^4+'AMB-P&amp;L'!G29/(1+$A6)^5+'AMB-P&amp;L'!H29/(1+$A6)^6+'AMB-P&amp;L'!I29/(1+$A6)^7+'AMB-P&amp;L'!J29/(1+$A6)^8+'AMB-P&amp;L'!K29/(1+$A6)^9+'AMB-P&amp;L'!L29/(1+$A6)^10+(('AMB-P&amp;L'!L26*(1+0.05))-0.05*'AMB-Balance Sheet'!L5)/($A6-0.05)/(1+$A6)^10)+'AMB-Assumptions'!$B$17+'AMB-Assumptions'!$B$22-'AMB-Assumptions'!$B$16-'AMB-Assumptions'!$B$23-'AMB-Assumptions'!$B$18)/'AMB-Assumptions'!$B$15)</f>
        <v>144.455154756124</v>
      </c>
      <c r="F6" s="50" t="n">
        <f aca="false">IF($A6&lt;=0.06,"",(('AMB-P&amp;L'!C29/(1+$A6)^1+'AMB-P&amp;L'!D29/(1+$A6)^2+'AMB-P&amp;L'!E29/(1+$A6)^3+'AMB-P&amp;L'!F29/(1+$A6)^4+'AMB-P&amp;L'!G29/(1+$A6)^5+'AMB-P&amp;L'!H29/(1+$A6)^6+'AMB-P&amp;L'!I29/(1+$A6)^7+'AMB-P&amp;L'!J29/(1+$A6)^8+'AMB-P&amp;L'!K29/(1+$A6)^9+'AMB-P&amp;L'!L29/(1+$A6)^10+(('AMB-P&amp;L'!L26*(1+0.06))-0.06*'AMB-Balance Sheet'!L5)/($A6-0.06)/(1+$A6)^10)+'AMB-Assumptions'!$B$17+'AMB-Assumptions'!$B$22-'AMB-Assumptions'!$B$16-'AMB-Assumptions'!$B$23-'AMB-Assumptions'!$B$18)/'AMB-Assumptions'!$B$15)</f>
        <v>157.694895685988</v>
      </c>
    </row>
    <row r="7" customFormat="false" ht="15" hidden="false" customHeight="true" outlineLevel="0" collapsed="false">
      <c r="A7" s="42" t="n">
        <v>0.11</v>
      </c>
      <c r="B7" s="50" t="n">
        <f aca="false">IF($A7&lt;=0.02,"",(('AMB-P&amp;L'!C29/(1+$A7)^1+'AMB-P&amp;L'!D29/(1+$A7)^2+'AMB-P&amp;L'!E29/(1+$A7)^3+'AMB-P&amp;L'!F29/(1+$A7)^4+'AMB-P&amp;L'!G29/(1+$A7)^5+'AMB-P&amp;L'!H29/(1+$A7)^6+'AMB-P&amp;L'!I29/(1+$A7)^7+'AMB-P&amp;L'!J29/(1+$A7)^8+'AMB-P&amp;L'!K29/(1+$A7)^9+'AMB-P&amp;L'!L29/(1+$A7)^10+(('AMB-P&amp;L'!L26*(1+0.02))-0.02*'AMB-Balance Sheet'!L5)/($A7-0.02)/(1+$A7)^10)+'AMB-Assumptions'!$B$17+'AMB-Assumptions'!$B$22-'AMB-Assumptions'!$B$16-'AMB-Assumptions'!$B$23-'AMB-Assumptions'!$B$18)/'AMB-Assumptions'!$B$15)</f>
        <v>95.018162094716</v>
      </c>
      <c r="C7" s="50" t="n">
        <f aca="false">IF($A7&lt;=0.03,"",(('AMB-P&amp;L'!C29/(1+$A7)^1+'AMB-P&amp;L'!D29/(1+$A7)^2+'AMB-P&amp;L'!E29/(1+$A7)^3+'AMB-P&amp;L'!F29/(1+$A7)^4+'AMB-P&amp;L'!G29/(1+$A7)^5+'AMB-P&amp;L'!H29/(1+$A7)^6+'AMB-P&amp;L'!I29/(1+$A7)^7+'AMB-P&amp;L'!J29/(1+$A7)^8+'AMB-P&amp;L'!K29/(1+$A7)^9+'AMB-P&amp;L'!L29/(1+$A7)^10+(('AMB-P&amp;L'!L26*(1+0.03))-0.03*'AMB-Balance Sheet'!L5)/($A7-0.03)/(1+$A7)^10)+'AMB-Assumptions'!$B$17+'AMB-Assumptions'!$B$22-'AMB-Assumptions'!$B$16-'AMB-Assumptions'!$B$23-'AMB-Assumptions'!$B$18)/'AMB-Assumptions'!$B$15)</f>
        <v>97.0659684754642</v>
      </c>
      <c r="D7" s="78" t="n">
        <f aca="false">IF($A7&lt;=0.04,"",(('AMB-P&amp;L'!C29/(1+$A7)^1+'AMB-P&amp;L'!D29/(1+$A7)^2+'AMB-P&amp;L'!E29/(1+$A7)^3+'AMB-P&amp;L'!F29/(1+$A7)^4+'AMB-P&amp;L'!G29/(1+$A7)^5+'AMB-P&amp;L'!H29/(1+$A7)^6+'AMB-P&amp;L'!I29/(1+$A7)^7+'AMB-P&amp;L'!J29/(1+$A7)^8+'AMB-P&amp;L'!K29/(1+$A7)^9+'AMB-P&amp;L'!L29/(1+$A7)^10+(('AMB-P&amp;L'!L26*(1+0.04))-0.04*'AMB-Balance Sheet'!L5)/($A7-0.04)/(1+$A7)^10)+'AMB-Assumptions'!$B$17+'AMB-Assumptions'!$B$22-'AMB-Assumptions'!$B$16-'AMB-Assumptions'!$B$23-'AMB-Assumptions'!$B$18)/'AMB-Assumptions'!$B$15)</f>
        <v>99.698862393569</v>
      </c>
      <c r="E7" s="50" t="n">
        <f aca="false">IF($A7&lt;=0.05,"",(('AMB-P&amp;L'!C29/(1+$A7)^1+'AMB-P&amp;L'!D29/(1+$A7)^2+'AMB-P&amp;L'!E29/(1+$A7)^3+'AMB-P&amp;L'!F29/(1+$A7)^4+'AMB-P&amp;L'!G29/(1+$A7)^5+'AMB-P&amp;L'!H29/(1+$A7)^6+'AMB-P&amp;L'!I29/(1+$A7)^7+'AMB-P&amp;L'!J29/(1+$A7)^8+'AMB-P&amp;L'!K29/(1+$A7)^9+'AMB-P&amp;L'!L29/(1+$A7)^10+(('AMB-P&amp;L'!L26*(1+0.05))-0.05*'AMB-Balance Sheet'!L5)/($A7-0.05)/(1+$A7)^10)+'AMB-Assumptions'!$B$17+'AMB-Assumptions'!$B$22-'AMB-Assumptions'!$B$16-'AMB-Assumptions'!$B$23-'AMB-Assumptions'!$B$18)/'AMB-Assumptions'!$B$15)</f>
        <v>103.209387617709</v>
      </c>
      <c r="F7" s="50" t="n">
        <f aca="false">IF($A7&lt;=0.06,"",(('AMB-P&amp;L'!C29/(1+$A7)^1+'AMB-P&amp;L'!D29/(1+$A7)^2+'AMB-P&amp;L'!E29/(1+$A7)^3+'AMB-P&amp;L'!F29/(1+$A7)^4+'AMB-P&amp;L'!G29/(1+$A7)^5+'AMB-P&amp;L'!H29/(1+$A7)^6+'AMB-P&amp;L'!I29/(1+$A7)^7+'AMB-P&amp;L'!J29/(1+$A7)^8+'AMB-P&amp;L'!K29/(1+$A7)^9+'AMB-P&amp;L'!L29/(1+$A7)^10+(('AMB-P&amp;L'!L26*(1+0.06))-0.06*'AMB-Balance Sheet'!L5)/($A7-0.06)/(1+$A7)^10)+'AMB-Assumptions'!$B$17+'AMB-Assumptions'!$B$22-'AMB-Assumptions'!$B$16-'AMB-Assumptions'!$B$23-'AMB-Assumptions'!$B$18)/'AMB-Assumptions'!$B$15)</f>
        <v>108.124122931504</v>
      </c>
    </row>
    <row r="8" customFormat="false" ht="15" hidden="false" customHeight="true" outlineLevel="0" collapsed="false">
      <c r="A8" s="42" t="n">
        <v>0.12</v>
      </c>
      <c r="B8" s="50" t="n">
        <f aca="false">IF($A8&lt;=0.02,"",(('AMB-P&amp;L'!C29/(1+$A8)^1+'AMB-P&amp;L'!D29/(1+$A8)^2+'AMB-P&amp;L'!E29/(1+$A8)^3+'AMB-P&amp;L'!F29/(1+$A8)^4+'AMB-P&amp;L'!G29/(1+$A8)^5+'AMB-P&amp;L'!H29/(1+$A8)^6+'AMB-P&amp;L'!I29/(1+$A8)^7+'AMB-P&amp;L'!J29/(1+$A8)^8+'AMB-P&amp;L'!K29/(1+$A8)^9+'AMB-P&amp;L'!L29/(1+$A8)^10+(('AMB-P&amp;L'!L26*(1+0.02))-0.02*'AMB-Balance Sheet'!L5)/($A8-0.02)/(1+$A8)^10)+'AMB-Assumptions'!$B$17+'AMB-Assumptions'!$B$22-'AMB-Assumptions'!$B$16-'AMB-Assumptions'!$B$23-'AMB-Assumptions'!$B$18)/'AMB-Assumptions'!$B$15)</f>
        <v>71.7710850613669</v>
      </c>
      <c r="C8" s="50" t="n">
        <f aca="false">IF($A8&lt;=0.03,"",(('AMB-P&amp;L'!C29/(1+$A8)^1+'AMB-P&amp;L'!D29/(1+$A8)^2+'AMB-P&amp;L'!E29/(1+$A8)^3+'AMB-P&amp;L'!F29/(1+$A8)^4+'AMB-P&amp;L'!G29/(1+$A8)^5+'AMB-P&amp;L'!H29/(1+$A8)^6+'AMB-P&amp;L'!I29/(1+$A8)^7+'AMB-P&amp;L'!J29/(1+$A8)^8+'AMB-P&amp;L'!K29/(1+$A8)^9+'AMB-P&amp;L'!L29/(1+$A8)^10+(('AMB-P&amp;L'!L26*(1+0.03))-0.03*'AMB-Balance Sheet'!L5)/($A8-0.03)/(1+$A8)^10)+'AMB-Assumptions'!$B$17+'AMB-Assumptions'!$B$22-'AMB-Assumptions'!$B$16-'AMB-Assumptions'!$B$23-'AMB-Assumptions'!$B$18)/'AMB-Assumptions'!$B$15)</f>
        <v>72.3094622029276</v>
      </c>
      <c r="D8" s="50" t="n">
        <f aca="false">IF($A8&lt;=0.04,"",(('AMB-P&amp;L'!C29/(1+$A8)^1+'AMB-P&amp;L'!D29/(1+$A8)^2+'AMB-P&amp;L'!E29/(1+$A8)^3+'AMB-P&amp;L'!F29/(1+$A8)^4+'AMB-P&amp;L'!G29/(1+$A8)^5+'AMB-P&amp;L'!H29/(1+$A8)^6+'AMB-P&amp;L'!I29/(1+$A8)^7+'AMB-P&amp;L'!J29/(1+$A8)^8+'AMB-P&amp;L'!K29/(1+$A8)^9+'AMB-P&amp;L'!L29/(1+$A8)^10+(('AMB-P&amp;L'!L26*(1+0.04))-0.04*'AMB-Balance Sheet'!L5)/($A8-0.04)/(1+$A8)^10)+'AMB-Assumptions'!$B$17+'AMB-Assumptions'!$B$22-'AMB-Assumptions'!$B$16-'AMB-Assumptions'!$B$23-'AMB-Assumptions'!$B$18)/'AMB-Assumptions'!$B$15)</f>
        <v>72.9824336298786</v>
      </c>
      <c r="E8" s="50" t="n">
        <f aca="false">IF($A8&lt;=0.05,"",(('AMB-P&amp;L'!C29/(1+$A8)^1+'AMB-P&amp;L'!D29/(1+$A8)^2+'AMB-P&amp;L'!E29/(1+$A8)^3+'AMB-P&amp;L'!F29/(1+$A8)^4+'AMB-P&amp;L'!G29/(1+$A8)^5+'AMB-P&amp;L'!H29/(1+$A8)^6+'AMB-P&amp;L'!I29/(1+$A8)^7+'AMB-P&amp;L'!J29/(1+$A8)^8+'AMB-P&amp;L'!K29/(1+$A8)^9+'AMB-P&amp;L'!L29/(1+$A8)^10+(('AMB-P&amp;L'!L26*(1+0.05))-0.05*'AMB-Balance Sheet'!L5)/($A8-0.05)/(1+$A8)^10)+'AMB-Assumptions'!$B$17+'AMB-Assumptions'!$B$22-'AMB-Assumptions'!$B$16-'AMB-Assumptions'!$B$23-'AMB-Assumptions'!$B$18)/'AMB-Assumptions'!$B$15)</f>
        <v>73.8476826073869</v>
      </c>
      <c r="F8" s="50" t="n">
        <f aca="false">IF($A8&lt;=0.06,"",(('AMB-P&amp;L'!C29/(1+$A8)^1+'AMB-P&amp;L'!D29/(1+$A8)^2+'AMB-P&amp;L'!E29/(1+$A8)^3+'AMB-P&amp;L'!F29/(1+$A8)^4+'AMB-P&amp;L'!G29/(1+$A8)^5+'AMB-P&amp;L'!H29/(1+$A8)^6+'AMB-P&amp;L'!I29/(1+$A8)^7+'AMB-P&amp;L'!J29/(1+$A8)^8+'AMB-P&amp;L'!K29/(1+$A8)^9+'AMB-P&amp;L'!L29/(1+$A8)^10+(('AMB-P&amp;L'!L26*(1+0.06))-0.06*'AMB-Balance Sheet'!L5)/($A8-0.06)/(1+$A8)^10)+'AMB-Assumptions'!$B$17+'AMB-Assumptions'!$B$22-'AMB-Assumptions'!$B$16-'AMB-Assumptions'!$B$23-'AMB-Assumptions'!$B$18)/'AMB-Assumptions'!$B$15)</f>
        <v>75.0013479107314</v>
      </c>
    </row>
    <row r="9" customFormat="false" ht="15" hidden="false" customHeight="true" outlineLevel="0" collapsed="false">
      <c r="A9" s="42" t="n">
        <v>0.13</v>
      </c>
      <c r="B9" s="50" t="n">
        <f aca="false">IF($A9&lt;=0.02,"",(('AMB-P&amp;L'!C29/(1+$A9)^1+'AMB-P&amp;L'!D29/(1+$A9)^2+'AMB-P&amp;L'!E29/(1+$A9)^3+'AMB-P&amp;L'!F29/(1+$A9)^4+'AMB-P&amp;L'!G29/(1+$A9)^5+'AMB-P&amp;L'!H29/(1+$A9)^6+'AMB-P&amp;L'!I29/(1+$A9)^7+'AMB-P&amp;L'!J29/(1+$A9)^8+'AMB-P&amp;L'!K29/(1+$A9)^9+'AMB-P&amp;L'!L29/(1+$A9)^10+(('AMB-P&amp;L'!L26*(1+0.02))-0.02*'AMB-Balance Sheet'!L5)/($A9-0.02)/(1+$A9)^10)+'AMB-Assumptions'!$B$17+'AMB-Assumptions'!$B$22-'AMB-Assumptions'!$B$16-'AMB-Assumptions'!$B$23-'AMB-Assumptions'!$B$18)/'AMB-Assumptions'!$B$15)</f>
        <v>53.1018926948939</v>
      </c>
      <c r="C9" s="50" t="n">
        <f aca="false">IF($A9&lt;=0.03,"",(('AMB-P&amp;L'!C29/(1+$A9)^1+'AMB-P&amp;L'!D29/(1+$A9)^2+'AMB-P&amp;L'!E29/(1+$A9)^3+'AMB-P&amp;L'!F29/(1+$A9)^4+'AMB-P&amp;L'!G29/(1+$A9)^5+'AMB-P&amp;L'!H29/(1+$A9)^6+'AMB-P&amp;L'!I29/(1+$A9)^7+'AMB-P&amp;L'!J29/(1+$A9)^8+'AMB-P&amp;L'!K29/(1+$A9)^9+'AMB-P&amp;L'!L29/(1+$A9)^10+(('AMB-P&amp;L'!L26*(1+0.03))-0.03*'AMB-Balance Sheet'!L5)/($A9-0.03)/(1+$A9)^10)+'AMB-Assumptions'!$B$17+'AMB-Assumptions'!$B$22-'AMB-Assumptions'!$B$16-'AMB-Assumptions'!$B$23-'AMB-Assumptions'!$B$18)/'AMB-Assumptions'!$B$15)</f>
        <v>52.786766463324</v>
      </c>
      <c r="D9" s="50" t="n">
        <f aca="false">IF($A9&lt;=0.04,"",(('AMB-P&amp;L'!C29/(1+$A9)^1+'AMB-P&amp;L'!D29/(1+$A9)^2+'AMB-P&amp;L'!E29/(1+$A9)^3+'AMB-P&amp;L'!F29/(1+$A9)^4+'AMB-P&amp;L'!G29/(1+$A9)^5+'AMB-P&amp;L'!H29/(1+$A9)^6+'AMB-P&amp;L'!I29/(1+$A9)^7+'AMB-P&amp;L'!J29/(1+$A9)^8+'AMB-P&amp;L'!K29/(1+$A9)^9+'AMB-P&amp;L'!L29/(1+$A9)^10+(('AMB-P&amp;L'!L26*(1+0.04))-0.04*'AMB-Balance Sheet'!L5)/($A9-0.04)/(1+$A9)^10)+'AMB-Assumptions'!$B$17+'AMB-Assumptions'!$B$22-'AMB-Assumptions'!$B$16-'AMB-Assumptions'!$B$23-'AMB-Assumptions'!$B$18)/'AMB-Assumptions'!$B$15)</f>
        <v>52.4016121802941</v>
      </c>
      <c r="E9" s="50" t="n">
        <f aca="false">IF($A9&lt;=0.05,"",(('AMB-P&amp;L'!C29/(1+$A9)^1+'AMB-P&amp;L'!D29/(1+$A9)^2+'AMB-P&amp;L'!E29/(1+$A9)^3+'AMB-P&amp;L'!F29/(1+$A9)^4+'AMB-P&amp;L'!G29/(1+$A9)^5+'AMB-P&amp;L'!H29/(1+$A9)^6+'AMB-P&amp;L'!I29/(1+$A9)^7+'AMB-P&amp;L'!J29/(1+$A9)^8+'AMB-P&amp;L'!K29/(1+$A9)^9+'AMB-P&amp;L'!L29/(1+$A9)^10+(('AMB-P&amp;L'!L26*(1+0.05))-0.05*'AMB-Balance Sheet'!L5)/($A9-0.05)/(1+$A9)^10)+'AMB-Assumptions'!$B$17+'AMB-Assumptions'!$B$22-'AMB-Assumptions'!$B$16-'AMB-Assumptions'!$B$23-'AMB-Assumptions'!$B$18)/'AMB-Assumptions'!$B$15)</f>
        <v>51.9201693265068</v>
      </c>
      <c r="F9" s="50" t="n">
        <f aca="false">IF($A9&lt;=0.06,"",(('AMB-P&amp;L'!C29/(1+$A9)^1+'AMB-P&amp;L'!D29/(1+$A9)^2+'AMB-P&amp;L'!E29/(1+$A9)^3+'AMB-P&amp;L'!F29/(1+$A9)^4+'AMB-P&amp;L'!G29/(1+$A9)^5+'AMB-P&amp;L'!H29/(1+$A9)^6+'AMB-P&amp;L'!I29/(1+$A9)^7+'AMB-P&amp;L'!J29/(1+$A9)^8+'AMB-P&amp;L'!K29/(1+$A9)^9+'AMB-P&amp;L'!L29/(1+$A9)^10+(('AMB-P&amp;L'!L26*(1+0.06))-0.06*'AMB-Balance Sheet'!L5)/($A9-0.06)/(1+$A9)^10)+'AMB-Assumptions'!$B$17+'AMB-Assumptions'!$B$22-'AMB-Assumptions'!$B$16-'AMB-Assumptions'!$B$23-'AMB-Assumptions'!$B$18)/'AMB-Assumptions'!$B$15)</f>
        <v>51.3011713716374</v>
      </c>
    </row>
    <row r="11" customFormat="false" ht="105" hidden="false" customHeight="true" outlineLevel="0" collapsed="false">
      <c r="A11" s="13" t="s">
        <v>636</v>
      </c>
      <c r="B11" s="13"/>
      <c r="C11" s="13"/>
      <c r="D11" s="13"/>
      <c r="E11" s="13"/>
      <c r="F11" s="13"/>
      <c r="G11" s="13"/>
      <c r="H11" s="13"/>
    </row>
    <row r="15" customFormat="false" ht="15" hidden="false" customHeight="true" outlineLevel="0" collapsed="false">
      <c r="A15" s="8" t="s">
        <v>637</v>
      </c>
      <c r="B15" s="8"/>
      <c r="C15" s="8"/>
      <c r="D15" s="8"/>
      <c r="E15" s="8"/>
      <c r="F15" s="8"/>
      <c r="G15" s="8"/>
      <c r="H15" s="8"/>
    </row>
    <row r="16" customFormat="false" ht="26.25" hidden="false" customHeight="true" outlineLevel="0" collapsed="false">
      <c r="A16" s="4" t="s">
        <v>638</v>
      </c>
      <c r="B16" s="4" t="s">
        <v>639</v>
      </c>
      <c r="C16" s="4" t="s">
        <v>640</v>
      </c>
      <c r="D16" s="4"/>
      <c r="E16" s="4"/>
      <c r="F16" s="4"/>
      <c r="G16" s="4"/>
      <c r="H16" s="4"/>
    </row>
    <row r="17" customFormat="false" ht="15" hidden="false" customHeight="true" outlineLevel="0" collapsed="false">
      <c r="A17" s="6" t="s">
        <v>641</v>
      </c>
      <c r="B17" s="79" t="s">
        <v>642</v>
      </c>
      <c r="C17" s="79" t="s">
        <v>643</v>
      </c>
    </row>
    <row r="18" customFormat="false" ht="15" hidden="false" customHeight="true" outlineLevel="0" collapsed="false">
      <c r="A18" s="6" t="s">
        <v>644</v>
      </c>
      <c r="B18" s="79" t="s">
        <v>645</v>
      </c>
      <c r="C18" s="79" t="s">
        <v>646</v>
      </c>
    </row>
    <row r="19" customFormat="false" ht="15" hidden="false" customHeight="true" outlineLevel="0" collapsed="false">
      <c r="A19" s="6" t="s">
        <v>647</v>
      </c>
      <c r="B19" s="79" t="s">
        <v>648</v>
      </c>
      <c r="C19" s="79" t="s">
        <v>649</v>
      </c>
    </row>
    <row r="20" customFormat="false" ht="15" hidden="false" customHeight="true" outlineLevel="0" collapsed="false">
      <c r="A20" s="6" t="s">
        <v>650</v>
      </c>
      <c r="B20" s="79" t="s">
        <v>651</v>
      </c>
      <c r="C20" s="79" t="s">
        <v>652</v>
      </c>
    </row>
    <row r="22" customFormat="false" ht="60" hidden="false" customHeight="true" outlineLevel="0" collapsed="false">
      <c r="A22" s="13" t="s">
        <v>653</v>
      </c>
      <c r="B22" s="13"/>
      <c r="C22" s="13"/>
      <c r="D22" s="13"/>
      <c r="E22" s="13"/>
      <c r="F22" s="13"/>
      <c r="G22" s="13"/>
      <c r="H22" s="13"/>
    </row>
  </sheetData>
  <mergeCells count="4">
    <mergeCell ref="A3:H3"/>
    <mergeCell ref="A11:H11"/>
    <mergeCell ref="A15:H15"/>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9"/>
    <col collapsed="false" customWidth="true" hidden="false" outlineLevel="0" max="7" min="3" style="1" width="15"/>
  </cols>
  <sheetData>
    <row r="1" customFormat="false" ht="17.25" hidden="false" customHeight="true" outlineLevel="0" collapsed="false">
      <c r="A1" s="2" t="s">
        <v>654</v>
      </c>
    </row>
    <row r="2" customFormat="false" ht="15" hidden="false" customHeight="true" outlineLevel="0" collapsed="false">
      <c r="A2" s="3" t="s">
        <v>655</v>
      </c>
    </row>
    <row r="4" customFormat="false" ht="15" hidden="false" customHeight="true" outlineLevel="0" collapsed="false">
      <c r="A4" s="4" t="s">
        <v>199</v>
      </c>
      <c r="B4" s="4" t="s">
        <v>157</v>
      </c>
      <c r="C4" s="4" t="s">
        <v>656</v>
      </c>
      <c r="D4" s="4" t="s">
        <v>657</v>
      </c>
      <c r="E4" s="4" t="s">
        <v>658</v>
      </c>
      <c r="F4" s="4" t="s">
        <v>659</v>
      </c>
      <c r="G4" s="4" t="s">
        <v>660</v>
      </c>
    </row>
    <row r="5" customFormat="false" ht="15" hidden="false" customHeight="true" outlineLevel="0" collapsed="false">
      <c r="C5" s="80" t="s">
        <v>661</v>
      </c>
      <c r="D5" s="80" t="s">
        <v>662</v>
      </c>
      <c r="E5" s="80" t="s">
        <v>662</v>
      </c>
      <c r="F5" s="80" t="s">
        <v>662</v>
      </c>
      <c r="G5" s="80" t="s">
        <v>662</v>
      </c>
    </row>
    <row r="6" customFormat="false" ht="15" hidden="false" customHeight="true" outlineLevel="0" collapsed="false">
      <c r="A6" s="5" t="s">
        <v>294</v>
      </c>
      <c r="B6" s="19" t="s">
        <v>160</v>
      </c>
      <c r="C6" s="20" t="n">
        <v>99095</v>
      </c>
      <c r="D6" s="20" t="n">
        <v>316633</v>
      </c>
      <c r="E6" s="20" t="n">
        <v>83058</v>
      </c>
      <c r="F6" s="20" t="n">
        <v>39252</v>
      </c>
      <c r="G6" s="20" t="n">
        <v>21939</v>
      </c>
    </row>
    <row r="7" customFormat="false" ht="15" hidden="false" customHeight="true" outlineLevel="0" collapsed="false">
      <c r="A7" s="5" t="s">
        <v>663</v>
      </c>
      <c r="B7" s="19" t="s">
        <v>160</v>
      </c>
      <c r="C7" s="20" t="n">
        <v>-92.67</v>
      </c>
      <c r="D7" s="20" t="n">
        <v>16443.97</v>
      </c>
      <c r="E7" s="20" t="n">
        <v>-6157.3</v>
      </c>
      <c r="F7" s="20" t="n">
        <v>5717.1</v>
      </c>
      <c r="G7" s="20" t="n">
        <v>3644.32</v>
      </c>
    </row>
    <row r="8" customFormat="false" ht="15" hidden="false" customHeight="true" outlineLevel="0" collapsed="false">
      <c r="A8" s="5" t="s">
        <v>179</v>
      </c>
      <c r="B8" s="19" t="s">
        <v>160</v>
      </c>
      <c r="C8" s="20" t="n">
        <v>12498.92</v>
      </c>
      <c r="D8" s="20" t="n">
        <v>0</v>
      </c>
      <c r="E8" s="20" t="n">
        <v>0</v>
      </c>
      <c r="F8" s="20" t="n">
        <v>0</v>
      </c>
      <c r="G8" s="20" t="n">
        <v>0</v>
      </c>
    </row>
    <row r="9" customFormat="false" ht="15" hidden="false" customHeight="true" outlineLevel="0" collapsed="false">
      <c r="A9" s="5" t="s">
        <v>214</v>
      </c>
      <c r="B9" s="19" t="s">
        <v>160</v>
      </c>
      <c r="C9" s="20" t="n">
        <v>6558.99</v>
      </c>
      <c r="D9" s="20" t="n">
        <v>15816.65</v>
      </c>
      <c r="E9" s="20" t="n">
        <v>4036.63</v>
      </c>
      <c r="F9" s="20" t="n">
        <v>2283.94</v>
      </c>
      <c r="G9" s="20" t="n">
        <v>1347.74</v>
      </c>
    </row>
    <row r="10" customFormat="false" ht="15" hidden="false" customHeight="true" outlineLevel="0" collapsed="false">
      <c r="A10" s="5" t="s">
        <v>372</v>
      </c>
      <c r="B10" s="19" t="s">
        <v>160</v>
      </c>
      <c r="C10" s="20" t="n">
        <v>40446.04</v>
      </c>
      <c r="D10" s="20" t="n">
        <v>86069.88</v>
      </c>
      <c r="E10" s="20" t="n">
        <v>19985.22</v>
      </c>
      <c r="F10" s="20" t="n">
        <v>13621.38</v>
      </c>
      <c r="G10" s="20" t="n">
        <v>9211.41</v>
      </c>
    </row>
    <row r="11" customFormat="false" ht="15" hidden="false" customHeight="true" outlineLevel="0" collapsed="false">
      <c r="A11" s="5" t="s">
        <v>664</v>
      </c>
      <c r="B11" s="19" t="s">
        <v>160</v>
      </c>
      <c r="C11" s="20" t="n">
        <v>2259.74</v>
      </c>
      <c r="D11" s="20" t="n">
        <v>7761.6</v>
      </c>
      <c r="E11" s="20" t="n">
        <v>1533.67</v>
      </c>
      <c r="F11" s="20" t="n">
        <v>1096.29</v>
      </c>
      <c r="G11" s="20" t="n">
        <v>178.45</v>
      </c>
    </row>
    <row r="12" customFormat="false" ht="15" hidden="false" customHeight="true" outlineLevel="0" collapsed="false">
      <c r="A12" s="5" t="s">
        <v>665</v>
      </c>
      <c r="B12" s="19" t="s">
        <v>160</v>
      </c>
      <c r="C12" s="20" t="n">
        <v>59347.32</v>
      </c>
      <c r="D12" s="20" t="n">
        <v>74663.37</v>
      </c>
      <c r="E12" s="20" t="n">
        <v>22511.6</v>
      </c>
      <c r="F12" s="20" t="n">
        <v>6960.68</v>
      </c>
      <c r="G12" s="20" t="n">
        <v>8142.37</v>
      </c>
    </row>
    <row r="13" customFormat="false" ht="15" hidden="false" customHeight="true" outlineLevel="0" collapsed="false">
      <c r="A13" s="5" t="s">
        <v>666</v>
      </c>
      <c r="B13" s="19" t="s">
        <v>667</v>
      </c>
      <c r="C13" s="81" t="n">
        <v>247.18</v>
      </c>
      <c r="D13" s="81" t="n">
        <v>29.468</v>
      </c>
      <c r="E13" s="81" t="n">
        <v>3.608</v>
      </c>
      <c r="F13" s="81" t="n">
        <v>7.727</v>
      </c>
      <c r="G13" s="81" t="n">
        <v>23.63</v>
      </c>
    </row>
    <row r="14" customFormat="false" ht="26.25" hidden="false" customHeight="true" outlineLevel="0" collapsed="false">
      <c r="A14" s="6" t="s">
        <v>668</v>
      </c>
      <c r="C14" s="82" t="s">
        <v>669</v>
      </c>
      <c r="D14" s="83" t="s">
        <v>670</v>
      </c>
      <c r="E14" s="83" t="s">
        <v>670</v>
      </c>
      <c r="F14" s="83" t="s">
        <v>670</v>
      </c>
      <c r="G14" s="83" t="s">
        <v>670</v>
      </c>
    </row>
    <row r="15" customFormat="false" ht="15" hidden="false" customHeight="true" outlineLevel="0" collapsed="false">
      <c r="A15" s="6" t="s">
        <v>215</v>
      </c>
      <c r="C15" s="23" t="n">
        <f aca="false">C6+C8+C7</f>
        <v>111501.25</v>
      </c>
      <c r="D15" s="23" t="n">
        <f aca="false">D6+D8+D7</f>
        <v>333076.97</v>
      </c>
      <c r="E15" s="23" t="n">
        <f aca="false">E6+E8+E7</f>
        <v>76900.7</v>
      </c>
      <c r="F15" s="23" t="n">
        <f aca="false">F6+F8+F7</f>
        <v>44969.1</v>
      </c>
      <c r="G15" s="23" t="n">
        <f aca="false">G6+G8+G7</f>
        <v>25583.32</v>
      </c>
    </row>
    <row r="17" customFormat="false" ht="15" hidden="false" customHeight="true" outlineLevel="0" collapsed="false">
      <c r="A17" s="8" t="s">
        <v>671</v>
      </c>
      <c r="B17" s="8"/>
      <c r="C17" s="8"/>
      <c r="D17" s="8"/>
      <c r="E17" s="8"/>
      <c r="F17" s="8"/>
      <c r="G17" s="8"/>
    </row>
    <row r="18" customFormat="false" ht="15" hidden="false" customHeight="true" outlineLevel="0" collapsed="false">
      <c r="A18" s="5" t="s">
        <v>216</v>
      </c>
      <c r="C18" s="84" t="n">
        <f aca="false">C15/C9</f>
        <v>16.9997591092531</v>
      </c>
      <c r="D18" s="84" t="n">
        <f aca="false">D15/D9</f>
        <v>21.0586293557738</v>
      </c>
      <c r="E18" s="84" t="n">
        <f aca="false">E15/E9</f>
        <v>19.0507180494621</v>
      </c>
      <c r="F18" s="84" t="n">
        <f aca="false">F15/F9</f>
        <v>19.6892650419888</v>
      </c>
      <c r="G18" s="84" t="n">
        <f aca="false">G15/G9</f>
        <v>18.9823853265467</v>
      </c>
    </row>
    <row r="19" customFormat="false" ht="15" hidden="false" customHeight="true" outlineLevel="0" collapsed="false">
      <c r="A19" s="5" t="s">
        <v>672</v>
      </c>
      <c r="C19" s="84" t="n">
        <f aca="false">C15/C10</f>
        <v>2.75679028157021</v>
      </c>
      <c r="D19" s="84" t="n">
        <f aca="false">D15/D10</f>
        <v>3.86984355038023</v>
      </c>
      <c r="E19" s="84" t="n">
        <f aca="false">E15/E10</f>
        <v>3.8478785822723</v>
      </c>
      <c r="F19" s="84" t="n">
        <f aca="false">F15/F10</f>
        <v>3.30136153605582</v>
      </c>
      <c r="G19" s="84" t="n">
        <f aca="false">G15/G10</f>
        <v>2.77735113299701</v>
      </c>
    </row>
    <row r="20" customFormat="false" ht="15" hidden="false" customHeight="true" outlineLevel="0" collapsed="false">
      <c r="A20" s="5" t="s">
        <v>673</v>
      </c>
      <c r="C20" s="84" t="n">
        <f aca="false">C6/C11</f>
        <v>43.8523900979759</v>
      </c>
      <c r="D20" s="84" t="n">
        <f aca="false">D6/D11</f>
        <v>40.7948103483818</v>
      </c>
      <c r="E20" s="84" t="n">
        <f aca="false">E6/E11</f>
        <v>54.1563700144099</v>
      </c>
      <c r="F20" s="84" t="n">
        <f aca="false">F6/F11</f>
        <v>35.8043948225378</v>
      </c>
      <c r="G20" s="84" t="n">
        <f aca="false">G6/G11</f>
        <v>122.942000560381</v>
      </c>
    </row>
    <row r="21" customFormat="false" ht="15" hidden="false" customHeight="true" outlineLevel="0" collapsed="false">
      <c r="A21" s="5" t="s">
        <v>674</v>
      </c>
      <c r="C21" s="84" t="n">
        <f aca="false">C6/C12</f>
        <v>1.6697468394529</v>
      </c>
      <c r="D21" s="84" t="n">
        <f aca="false">D6/D12</f>
        <v>4.24080777495042</v>
      </c>
      <c r="E21" s="84" t="n">
        <f aca="false">E6/E12</f>
        <v>3.68956449119565</v>
      </c>
      <c r="F21" s="84" t="n">
        <f aca="false">F6/F12</f>
        <v>5.63910422544924</v>
      </c>
      <c r="G21" s="84" t="n">
        <f aca="false">G6/G12</f>
        <v>2.69442435064975</v>
      </c>
    </row>
    <row r="22" customFormat="false" ht="15" hidden="false" customHeight="true" outlineLevel="0" collapsed="false">
      <c r="A22" s="5" t="s">
        <v>675</v>
      </c>
      <c r="C22" s="28" t="n">
        <f aca="false">C11/C12</f>
        <v>0.0380765298247672</v>
      </c>
      <c r="D22" s="28" t="n">
        <f aca="false">D11/D12</f>
        <v>0.103954589780772</v>
      </c>
      <c r="E22" s="28" t="n">
        <f aca="false">E11/E12</f>
        <v>0.0681279873487447</v>
      </c>
      <c r="F22" s="28" t="n">
        <f aca="false">F11/F12</f>
        <v>0.157497543343466</v>
      </c>
      <c r="G22" s="28" t="n">
        <f aca="false">G11/G12</f>
        <v>0.0219162234091548</v>
      </c>
    </row>
    <row r="23" customFormat="false" ht="15" hidden="false" customHeight="true" outlineLevel="0" collapsed="false">
      <c r="A23" s="5" t="s">
        <v>676</v>
      </c>
      <c r="C23" s="54" t="n">
        <v>0</v>
      </c>
      <c r="D23" s="54" t="n">
        <v>0.047</v>
      </c>
      <c r="E23" s="54" t="n">
        <v>0.035</v>
      </c>
      <c r="F23" s="54" t="n">
        <v>0.052</v>
      </c>
      <c r="G23" s="54" t="n">
        <v>0.022</v>
      </c>
    </row>
    <row r="25" customFormat="false" ht="15" hidden="false" customHeight="true" outlineLevel="0" collapsed="false">
      <c r="A25" s="8" t="s">
        <v>677</v>
      </c>
      <c r="B25" s="8"/>
      <c r="C25" s="8"/>
      <c r="D25" s="8"/>
      <c r="E25" s="8"/>
      <c r="F25" s="8"/>
      <c r="G25" s="8"/>
      <c r="H25" s="8"/>
    </row>
    <row r="26" customFormat="false" ht="39" hidden="false" customHeight="true" outlineLevel="0" collapsed="false">
      <c r="A26" s="4" t="s">
        <v>678</v>
      </c>
      <c r="B26" s="4"/>
      <c r="C26" s="4" t="s">
        <v>679</v>
      </c>
      <c r="D26" s="4" t="s">
        <v>680</v>
      </c>
      <c r="E26" s="4" t="s">
        <v>681</v>
      </c>
      <c r="F26" s="4" t="s">
        <v>682</v>
      </c>
      <c r="G26" s="4" t="s">
        <v>683</v>
      </c>
      <c r="H26" s="4" t="s">
        <v>684</v>
      </c>
    </row>
    <row r="27" customFormat="false" ht="15" hidden="false" customHeight="true" outlineLevel="0" collapsed="false">
      <c r="A27" s="5" t="s">
        <v>216</v>
      </c>
      <c r="C27" s="30" t="n">
        <f aca="false">MIN(D18:G18)</f>
        <v>18.9823853265467</v>
      </c>
      <c r="D27" s="30" t="n">
        <f aca="false">QUARTILE(D18:G18,1)</f>
        <v>19.0336348687332</v>
      </c>
      <c r="E27" s="30" t="n">
        <f aca="false">MEDIAN(D18:G18)</f>
        <v>19.3699915457254</v>
      </c>
      <c r="F27" s="30" t="n">
        <f aca="false">QUARTILE(D18:G18,3)</f>
        <v>20.0316061204351</v>
      </c>
      <c r="G27" s="30" t="n">
        <f aca="false">MAX(D18:G18)</f>
        <v>21.0586293557738</v>
      </c>
      <c r="H27" s="30" t="n">
        <f aca="false">(D6*D18+E6*E18+F6*F18+G6*G18)/(D6+E6+F6+G6)</f>
        <v>20.4813143313607</v>
      </c>
    </row>
    <row r="28" customFormat="false" ht="15" hidden="false" customHeight="true" outlineLevel="0" collapsed="false">
      <c r="A28" s="5" t="s">
        <v>672</v>
      </c>
      <c r="C28" s="30" t="n">
        <f aca="false">MIN(D19:G19)</f>
        <v>2.77735113299701</v>
      </c>
      <c r="D28" s="30" t="n">
        <f aca="false">QUARTILE(D19:G19,1)</f>
        <v>3.17035893529112</v>
      </c>
      <c r="E28" s="30" t="n">
        <f aca="false">MEDIAN(D19:G19)</f>
        <v>3.57462005916406</v>
      </c>
      <c r="F28" s="30" t="n">
        <f aca="false">QUARTILE(D19:G19,3)</f>
        <v>3.85336982429928</v>
      </c>
      <c r="G28" s="30" t="n">
        <f aca="false">MAX(D19:G19)</f>
        <v>3.86984355038023</v>
      </c>
      <c r="H28" s="30" t="n">
        <f aca="false">(D6*D19+E6*E19+F6*F19+G6*G19)/(D6+E6+F6+G6)</f>
        <v>3.76546409209732</v>
      </c>
    </row>
    <row r="29" customFormat="false" ht="15" hidden="false" customHeight="true" outlineLevel="0" collapsed="false">
      <c r="A29" s="5" t="s">
        <v>673</v>
      </c>
      <c r="C29" s="30" t="n">
        <f aca="false">MIN(D20:G20)</f>
        <v>35.8043948225378</v>
      </c>
      <c r="D29" s="30" t="n">
        <f aca="false">QUARTILE(D20:G20,1)</f>
        <v>39.5472064669208</v>
      </c>
      <c r="E29" s="30" t="n">
        <f aca="false">MEDIAN(D20:G20)</f>
        <v>47.4755901813958</v>
      </c>
      <c r="F29" s="30" t="n">
        <f aca="false">QUARTILE(D20:G20,3)</f>
        <v>71.3527776509027</v>
      </c>
      <c r="G29" s="30" t="n">
        <f aca="false">MAX(D20:G20)</f>
        <v>122.942000560381</v>
      </c>
      <c r="H29" s="30" t="n">
        <f aca="false">(D6*D20+E6*E20+F6*F20+G6*G20)/(D6+E6+F6+G6)</f>
        <v>46.688136272548</v>
      </c>
    </row>
    <row r="30" customFormat="false" ht="15" hidden="false" customHeight="true" outlineLevel="0" collapsed="false">
      <c r="A30" s="5" t="s">
        <v>674</v>
      </c>
      <c r="C30" s="30" t="n">
        <f aca="false">MIN(D21:G21)</f>
        <v>2.69442435064975</v>
      </c>
      <c r="D30" s="30" t="n">
        <f aca="false">QUARTILE(D21:G21,1)</f>
        <v>3.44077945605918</v>
      </c>
      <c r="E30" s="30" t="n">
        <f aca="false">MEDIAN(D21:G21)</f>
        <v>3.96518613307304</v>
      </c>
      <c r="F30" s="30" t="n">
        <f aca="false">QUARTILE(D21:G21,3)</f>
        <v>4.59038188757513</v>
      </c>
      <c r="G30" s="30" t="n">
        <f aca="false">MAX(D21:G21)</f>
        <v>5.63910422544924</v>
      </c>
      <c r="H30" s="30" t="n">
        <f aca="false">(D6*D21+E6*E21+F6*F21+G6*G21)/(D6+E6+F6+G6)</f>
        <v>4.18694292812877</v>
      </c>
    </row>
    <row r="32" customFormat="false" ht="15" hidden="false" customHeight="true" outlineLevel="0" collapsed="false">
      <c r="A32" s="8" t="s">
        <v>685</v>
      </c>
      <c r="B32" s="8"/>
      <c r="C32" s="8"/>
      <c r="D32" s="8"/>
      <c r="E32" s="8"/>
      <c r="F32" s="8"/>
      <c r="G32" s="8"/>
      <c r="H32" s="8"/>
    </row>
    <row r="33" customFormat="false" ht="26.25" hidden="false" customHeight="true" outlineLevel="0" collapsed="false">
      <c r="A33" s="4" t="s">
        <v>213</v>
      </c>
      <c r="B33" s="4"/>
      <c r="C33" s="4" t="s">
        <v>686</v>
      </c>
      <c r="D33" s="4" t="s">
        <v>687</v>
      </c>
      <c r="E33" s="4" t="s">
        <v>688</v>
      </c>
      <c r="F33" s="4" t="s">
        <v>684</v>
      </c>
      <c r="G33" s="4"/>
      <c r="H33" s="4"/>
    </row>
    <row r="34" customFormat="false" ht="15" hidden="false" customHeight="true" outlineLevel="0" collapsed="false">
      <c r="A34" s="5" t="s">
        <v>689</v>
      </c>
      <c r="C34" s="37" t="n">
        <f aca="false">D27</f>
        <v>19.0336348687332</v>
      </c>
      <c r="D34" s="37" t="n">
        <f aca="false">E27</f>
        <v>19.3699915457254</v>
      </c>
      <c r="E34" s="37" t="n">
        <f aca="false">F27</f>
        <v>20.0316061204351</v>
      </c>
      <c r="F34" s="37" t="n">
        <f aca="false">H27</f>
        <v>20.4813143313607</v>
      </c>
    </row>
    <row r="35" customFormat="false" ht="15" hidden="false" customHeight="true" outlineLevel="0" collapsed="false">
      <c r="A35" s="6" t="s">
        <v>650</v>
      </c>
      <c r="C35" s="23" t="n">
        <f aca="false">C34*C9-C7-C8</f>
        <v>112435.170767672</v>
      </c>
      <c r="D35" s="23" t="n">
        <f aca="false">D34*C9-C7-C8</f>
        <v>114641.330848498</v>
      </c>
      <c r="E35" s="23" t="n">
        <f aca="false">E34*C9-C7-C8</f>
        <v>118980.854227873</v>
      </c>
      <c r="F35" s="23" t="n">
        <f aca="false">F34*C9-C7-C8</f>
        <v>121930.485886252</v>
      </c>
    </row>
    <row r="36" customFormat="false" ht="15" hidden="false" customHeight="true" outlineLevel="0" collapsed="false">
      <c r="A36" s="6" t="s">
        <v>690</v>
      </c>
      <c r="C36" s="85" t="n">
        <f aca="false">C35/C13</f>
        <v>454.871635114784</v>
      </c>
      <c r="D36" s="85" t="n">
        <f aca="false">D35/C13</f>
        <v>463.796953024103</v>
      </c>
      <c r="E36" s="85" t="n">
        <f aca="false">E35/C13</f>
        <v>481.353079649941</v>
      </c>
      <c r="F36" s="85" t="n">
        <f aca="false">F35/C13</f>
        <v>493.286212016554</v>
      </c>
    </row>
    <row r="38" customFormat="false" ht="15" hidden="false" customHeight="true" outlineLevel="0" collapsed="false">
      <c r="A38" s="5" t="s">
        <v>691</v>
      </c>
      <c r="C38" s="37" t="n">
        <f aca="false">D29</f>
        <v>39.5472064669208</v>
      </c>
      <c r="D38" s="37" t="n">
        <f aca="false">E29</f>
        <v>47.4755901813958</v>
      </c>
      <c r="E38" s="37" t="n">
        <f aca="false">F29</f>
        <v>71.3527776509027</v>
      </c>
      <c r="F38" s="37" t="n">
        <f aca="false">H29</f>
        <v>46.688136272548</v>
      </c>
    </row>
    <row r="39" customFormat="false" ht="15" hidden="false" customHeight="true" outlineLevel="0" collapsed="false">
      <c r="A39" s="6" t="s">
        <v>650</v>
      </c>
      <c r="C39" s="23" t="n">
        <f aca="false">C38*C11</f>
        <v>89366.4043415596</v>
      </c>
      <c r="D39" s="23" t="n">
        <f aca="false">D38*C11</f>
        <v>107282.490156507</v>
      </c>
      <c r="E39" s="23" t="n">
        <f aca="false">E38*C11</f>
        <v>161238.725768851</v>
      </c>
      <c r="F39" s="23" t="n">
        <f aca="false">F38*C11</f>
        <v>105503.049060528</v>
      </c>
    </row>
    <row r="40" customFormat="false" ht="15" hidden="false" customHeight="true" outlineLevel="0" collapsed="false">
      <c r="A40" s="6" t="s">
        <v>692</v>
      </c>
      <c r="C40" s="85" t="n">
        <f aca="false">C39/C13</f>
        <v>361.543831788816</v>
      </c>
      <c r="D40" s="85" t="n">
        <f aca="false">D39/C13</f>
        <v>434.025771326594</v>
      </c>
      <c r="E40" s="85" t="n">
        <f aca="false">E39/C13</f>
        <v>652.312993643704</v>
      </c>
      <c r="F40" s="85" t="n">
        <f aca="false">F39/C13</f>
        <v>426.826802575158</v>
      </c>
    </row>
    <row r="42" customFormat="false" ht="15" hidden="false" customHeight="true" outlineLevel="0" collapsed="false">
      <c r="A42" s="5" t="s">
        <v>693</v>
      </c>
      <c r="C42" s="37" t="n">
        <f aca="false">D30</f>
        <v>3.44077945605918</v>
      </c>
      <c r="D42" s="37" t="n">
        <f aca="false">E30</f>
        <v>3.96518613307304</v>
      </c>
      <c r="E42" s="37" t="n">
        <f aca="false">F30</f>
        <v>4.59038188757513</v>
      </c>
      <c r="F42" s="37" t="n">
        <f aca="false">H30</f>
        <v>4.18694292812877</v>
      </c>
    </row>
    <row r="43" customFormat="false" ht="15" hidden="false" customHeight="true" outlineLevel="0" collapsed="false">
      <c r="A43" s="6" t="s">
        <v>650</v>
      </c>
      <c r="C43" s="23" t="n">
        <f aca="false">C42*C12</f>
        <v>204201.03942817</v>
      </c>
      <c r="D43" s="23" t="n">
        <f aca="false">D42*C12</f>
        <v>235323.170299048</v>
      </c>
      <c r="E43" s="23" t="n">
        <f aca="false">E42*C12</f>
        <v>272426.862804125</v>
      </c>
      <c r="F43" s="23" t="n">
        <f aca="false">F42*C12</f>
        <v>248483.841777395</v>
      </c>
    </row>
    <row r="44" customFormat="false" ht="15" hidden="false" customHeight="true" outlineLevel="0" collapsed="false">
      <c r="A44" s="6" t="s">
        <v>694</v>
      </c>
      <c r="C44" s="85" t="n">
        <f aca="false">C43/C13</f>
        <v>826.1228231579</v>
      </c>
      <c r="D44" s="85" t="n">
        <f aca="false">D43/C13</f>
        <v>952.031597617316</v>
      </c>
      <c r="E44" s="85" t="n">
        <f aca="false">E43/C13</f>
        <v>1102.13958574369</v>
      </c>
      <c r="F44" s="85" t="n">
        <f aca="false">F43/C13</f>
        <v>1005.27486761629</v>
      </c>
    </row>
    <row r="46" customFormat="false" ht="15" hidden="false" customHeight="true" outlineLevel="0" collapsed="false">
      <c r="A46" s="8" t="s">
        <v>695</v>
      </c>
      <c r="B46" s="8"/>
      <c r="C46" s="8"/>
      <c r="D46" s="8"/>
      <c r="E46" s="8"/>
      <c r="F46" s="8"/>
      <c r="G46" s="8"/>
      <c r="H46" s="8"/>
    </row>
    <row r="47" customFormat="false" ht="26.25" hidden="false" customHeight="true" outlineLevel="0" collapsed="false">
      <c r="A47" s="4" t="s">
        <v>696</v>
      </c>
      <c r="B47" s="4"/>
      <c r="C47" s="4" t="s">
        <v>591</v>
      </c>
      <c r="D47" s="4" t="s">
        <v>697</v>
      </c>
      <c r="E47" s="4"/>
      <c r="F47" s="4"/>
    </row>
    <row r="48" customFormat="false" ht="15" hidden="false" customHeight="true" outlineLevel="0" collapsed="false">
      <c r="A48" s="6" t="s">
        <v>698</v>
      </c>
      <c r="C48" s="86" t="n">
        <v>114.8664</v>
      </c>
      <c r="D48" s="87" t="n">
        <f aca="false">IFERROR(C48/$C$52-1,"")</f>
        <v>-0.713478672985782</v>
      </c>
    </row>
    <row r="49" customFormat="false" ht="15" hidden="false" customHeight="true" outlineLevel="0" collapsed="false">
      <c r="A49" s="6" t="s">
        <v>699</v>
      </c>
      <c r="C49" s="71" t="n">
        <f aca="false">D36</f>
        <v>463.796953024103</v>
      </c>
      <c r="D49" s="87" t="n">
        <f aca="false">IFERROR(C49/$C$52-1,"")</f>
        <v>0.15688938145199</v>
      </c>
    </row>
    <row r="50" customFormat="false" ht="15" hidden="false" customHeight="true" outlineLevel="0" collapsed="false">
      <c r="A50" s="6" t="s">
        <v>700</v>
      </c>
      <c r="C50" s="71" t="n">
        <f aca="false">D40</f>
        <v>434.025771326594</v>
      </c>
      <c r="D50" s="87" t="n">
        <f aca="false">IFERROR(C50/$C$52-1,"")</f>
        <v>0.0826285141596248</v>
      </c>
    </row>
    <row r="51" customFormat="false" ht="15" hidden="false" customHeight="true" outlineLevel="0" collapsed="false">
      <c r="A51" s="6" t="s">
        <v>701</v>
      </c>
      <c r="C51" s="71" t="n">
        <f aca="false">D44</f>
        <v>952.031597617316</v>
      </c>
      <c r="D51" s="87" t="n">
        <f aca="false">IFERROR(C51/$C$52-1,"")</f>
        <v>1.37473583840687</v>
      </c>
    </row>
    <row r="52" customFormat="false" ht="15" hidden="false" customHeight="true" outlineLevel="0" collapsed="false">
      <c r="A52" s="6" t="s">
        <v>702</v>
      </c>
      <c r="C52" s="71" t="n">
        <v>400.9</v>
      </c>
      <c r="D52" s="88"/>
    </row>
    <row r="54" customFormat="false" ht="15" hidden="false" customHeight="true" outlineLevel="0" collapsed="false">
      <c r="A54" s="6" t="s">
        <v>703</v>
      </c>
      <c r="C54" s="30" t="n">
        <f aca="false">(C48*C13+C7+C8)/C9</f>
        <v>6.22030628984036</v>
      </c>
      <c r="E54" s="3" t="s">
        <v>704</v>
      </c>
    </row>
    <row r="56" customFormat="false" ht="75" hidden="false" customHeight="true" outlineLevel="0" collapsed="false">
      <c r="A56" s="13" t="s">
        <v>705</v>
      </c>
      <c r="B56" s="13"/>
      <c r="C56" s="13"/>
      <c r="D56" s="13"/>
      <c r="E56" s="13"/>
      <c r="F56" s="13"/>
      <c r="G56" s="13"/>
      <c r="H56" s="13"/>
    </row>
    <row r="61" customFormat="false" ht="90" hidden="false" customHeight="true" outlineLevel="0" collapsed="false">
      <c r="A61" s="13" t="s">
        <v>706</v>
      </c>
      <c r="B61" s="13"/>
      <c r="C61" s="13"/>
      <c r="D61" s="13"/>
      <c r="E61" s="13"/>
      <c r="F61" s="13"/>
      <c r="G61" s="13"/>
      <c r="H61" s="13"/>
    </row>
    <row r="65" customFormat="false" ht="60" hidden="false" customHeight="true" outlineLevel="0" collapsed="false">
      <c r="A65" s="89" t="s">
        <v>707</v>
      </c>
      <c r="B65" s="89"/>
      <c r="C65" s="89"/>
      <c r="D65" s="89"/>
      <c r="E65" s="89"/>
      <c r="F65" s="89"/>
      <c r="G65" s="89"/>
      <c r="H65" s="89"/>
    </row>
    <row r="70" customFormat="false" ht="120" hidden="false" customHeight="true" outlineLevel="0" collapsed="false">
      <c r="A70" s="29" t="s">
        <v>708</v>
      </c>
      <c r="B70" s="29"/>
      <c r="C70" s="29"/>
      <c r="D70" s="29"/>
      <c r="E70" s="29"/>
      <c r="F70" s="29"/>
      <c r="G70" s="29"/>
      <c r="H70" s="29"/>
    </row>
    <row r="73" customFormat="false" ht="15" hidden="false" customHeight="true" outlineLevel="0" collapsed="false">
      <c r="A73" s="8" t="s">
        <v>709</v>
      </c>
      <c r="B73" s="8"/>
      <c r="C73" s="8"/>
      <c r="D73" s="8"/>
      <c r="E73" s="8"/>
      <c r="F73" s="8"/>
      <c r="G73" s="8"/>
      <c r="H73" s="8"/>
    </row>
    <row r="74" customFormat="false" ht="75" hidden="false" customHeight="true" outlineLevel="0" collapsed="false">
      <c r="A74" s="13" t="s">
        <v>710</v>
      </c>
      <c r="B74" s="13"/>
      <c r="C74" s="13"/>
      <c r="D74" s="13"/>
      <c r="E74" s="13"/>
      <c r="F74" s="13"/>
      <c r="G74" s="13"/>
      <c r="H74" s="13"/>
    </row>
    <row r="78" customFormat="false" ht="39" hidden="false" customHeight="true" outlineLevel="0" collapsed="false">
      <c r="A78" s="14" t="s">
        <v>711</v>
      </c>
      <c r="B78" s="14"/>
      <c r="C78" s="14" t="s">
        <v>657</v>
      </c>
      <c r="D78" s="14" t="s">
        <v>656</v>
      </c>
      <c r="E78" s="14"/>
      <c r="F78" s="14" t="s">
        <v>712</v>
      </c>
      <c r="G78" s="14"/>
      <c r="H78" s="14"/>
    </row>
    <row r="79" customFormat="false" ht="15" hidden="false" customHeight="true" outlineLevel="0" collapsed="false">
      <c r="A79" s="5" t="s">
        <v>713</v>
      </c>
      <c r="C79" s="20" t="n">
        <v>333077</v>
      </c>
      <c r="D79" s="20" t="n">
        <v>111501</v>
      </c>
      <c r="F79" s="90" t="n">
        <f aca="false">D79/C79</f>
        <v>0.334760430771263</v>
      </c>
    </row>
    <row r="80" customFormat="false" ht="15" hidden="false" customHeight="true" outlineLevel="0" collapsed="false">
      <c r="A80" s="5" t="s">
        <v>714</v>
      </c>
      <c r="C80" s="20" t="n">
        <v>86090</v>
      </c>
      <c r="D80" s="20" t="n">
        <v>67208</v>
      </c>
      <c r="F80" s="90" t="n">
        <f aca="false">D80/C80</f>
        <v>0.78067139040539</v>
      </c>
    </row>
    <row r="81" customFormat="false" ht="15" hidden="false" customHeight="true" outlineLevel="0" collapsed="false">
      <c r="A81" s="5" t="s">
        <v>715</v>
      </c>
      <c r="C81" s="20" t="n">
        <v>15439</v>
      </c>
      <c r="D81" s="20" t="n">
        <v>6559</v>
      </c>
      <c r="F81" s="90" t="n">
        <f aca="false">D81/C81</f>
        <v>0.424833214586437</v>
      </c>
    </row>
    <row r="82" customFormat="false" ht="15" hidden="false" customHeight="true" outlineLevel="0" collapsed="false">
      <c r="A82" s="6" t="s">
        <v>716</v>
      </c>
      <c r="C82" s="31" t="n">
        <f aca="false">C79/C81</f>
        <v>21.5737418226569</v>
      </c>
      <c r="D82" s="31" t="n">
        <f aca="false">D79/D81</f>
        <v>16.9996950754688</v>
      </c>
      <c r="F82" s="91" t="n">
        <f aca="false">D82/C82</f>
        <v>0.787980834071891</v>
      </c>
    </row>
    <row r="83" customFormat="false" ht="15" hidden="false" customHeight="true" outlineLevel="0" collapsed="false">
      <c r="A83" s="6" t="s">
        <v>717</v>
      </c>
      <c r="C83" s="31" t="n">
        <f aca="false">C79/C80</f>
        <v>3.86893948193751</v>
      </c>
      <c r="D83" s="31" t="n">
        <f aca="false">D79/D80</f>
        <v>1.65904356624211</v>
      </c>
      <c r="F83" s="91" t="n">
        <f aca="false">D83/C83</f>
        <v>0.428810937464261</v>
      </c>
    </row>
    <row r="84" customFormat="false" ht="15" hidden="false" customHeight="true" outlineLevel="0" collapsed="false">
      <c r="A84" s="6" t="s">
        <v>718</v>
      </c>
      <c r="C84" s="54" t="n">
        <v>0.108</v>
      </c>
      <c r="D84" s="54" t="n">
        <v>0.033</v>
      </c>
      <c r="F84" s="91" t="n">
        <f aca="false">D84/C84</f>
        <v>0.305555555555556</v>
      </c>
    </row>
    <row r="85" customFormat="false" ht="15" hidden="false" customHeight="true" outlineLevel="0" collapsed="false">
      <c r="A85" s="5" t="s">
        <v>719</v>
      </c>
      <c r="C85" s="54" t="n">
        <v>0.158</v>
      </c>
      <c r="D85" s="54" t="n">
        <v>0.09</v>
      </c>
      <c r="F85" s="90" t="n">
        <f aca="false">D85/C85</f>
        <v>0.569620253164557</v>
      </c>
    </row>
    <row r="86" customFormat="false" ht="15" hidden="false" customHeight="true" outlineLevel="0" collapsed="false">
      <c r="A86" s="5" t="s">
        <v>720</v>
      </c>
      <c r="C86" s="54" t="n">
        <v>0.104</v>
      </c>
      <c r="D86" s="54" t="n">
        <v>0.038</v>
      </c>
      <c r="F86" s="90" t="n">
        <f aca="false">D86/C86</f>
        <v>0.365384615384615</v>
      </c>
    </row>
    <row r="87" customFormat="false" ht="15" hidden="false" customHeight="true" outlineLevel="0" collapsed="false">
      <c r="A87" s="5" t="s">
        <v>721</v>
      </c>
      <c r="C87" s="92" t="n">
        <v>4.24</v>
      </c>
      <c r="D87" s="92" t="n">
        <v>1.67</v>
      </c>
      <c r="F87" s="90" t="n">
        <f aca="false">D87/C87</f>
        <v>0.393867924528302</v>
      </c>
    </row>
    <row r="89" customFormat="false" ht="60" hidden="false" customHeight="true" outlineLevel="0" collapsed="false">
      <c r="A89" s="29" t="s">
        <v>722</v>
      </c>
      <c r="B89" s="29"/>
      <c r="C89" s="29"/>
      <c r="D89" s="29"/>
      <c r="E89" s="29"/>
      <c r="F89" s="29"/>
      <c r="G89" s="29"/>
      <c r="H89" s="29"/>
    </row>
    <row r="93" customFormat="false" ht="15" hidden="false" customHeight="true" outlineLevel="0" collapsed="false">
      <c r="A93" s="8" t="s">
        <v>723</v>
      </c>
      <c r="B93" s="8"/>
      <c r="C93" s="8"/>
      <c r="D93" s="8"/>
      <c r="E93" s="8"/>
      <c r="F93" s="8"/>
      <c r="G93" s="8"/>
      <c r="H93" s="8"/>
    </row>
    <row r="94" customFormat="false" ht="26.25" hidden="false" customHeight="true" outlineLevel="0" collapsed="false">
      <c r="A94" s="14" t="s">
        <v>724</v>
      </c>
      <c r="B94" s="14"/>
      <c r="C94" s="14" t="s">
        <v>657</v>
      </c>
      <c r="D94" s="14" t="s">
        <v>656</v>
      </c>
      <c r="E94" s="14"/>
      <c r="F94" s="14" t="s">
        <v>725</v>
      </c>
      <c r="G94" s="14"/>
      <c r="H94" s="14"/>
    </row>
    <row r="95" customFormat="false" ht="15" hidden="false" customHeight="true" outlineLevel="0" collapsed="false">
      <c r="A95" s="5" t="s">
        <v>726</v>
      </c>
      <c r="C95" s="54" t="n">
        <v>0.0699</v>
      </c>
      <c r="D95" s="54" t="n">
        <v>0.0699</v>
      </c>
    </row>
    <row r="96" customFormat="false" ht="15" hidden="false" customHeight="true" outlineLevel="0" collapsed="false">
      <c r="A96" s="5" t="s">
        <v>593</v>
      </c>
      <c r="C96" s="54" t="n">
        <v>0.11331</v>
      </c>
      <c r="D96" s="54" t="n">
        <v>0.11375</v>
      </c>
    </row>
    <row r="97" customFormat="false" ht="15" hidden="false" customHeight="true" outlineLevel="0" collapsed="false">
      <c r="A97" s="5" t="s">
        <v>718</v>
      </c>
      <c r="C97" s="54" t="n">
        <v>0.108</v>
      </c>
      <c r="D97" s="54" t="n">
        <v>0.033</v>
      </c>
    </row>
    <row r="98" customFormat="false" ht="15" hidden="false" customHeight="true" outlineLevel="0" collapsed="false">
      <c r="A98" s="5" t="s">
        <v>719</v>
      </c>
      <c r="C98" s="54" t="n">
        <v>0.158</v>
      </c>
      <c r="D98" s="54" t="n">
        <v>0.09</v>
      </c>
    </row>
    <row r="99" customFormat="false" ht="15" hidden="false" customHeight="true" outlineLevel="0" collapsed="false">
      <c r="A99" s="6" t="s">
        <v>727</v>
      </c>
      <c r="C99" s="31" t="n">
        <f aca="false">(C97-C95)/(C96-C95)</f>
        <v>0.87767795438839</v>
      </c>
      <c r="D99" s="31" t="n">
        <f aca="false">(D97-D95)/(D96-D95)</f>
        <v>-0.841505131128848</v>
      </c>
    </row>
    <row r="100" customFormat="false" ht="15" hidden="false" customHeight="true" outlineLevel="0" collapsed="false">
      <c r="A100" s="6" t="s">
        <v>728</v>
      </c>
      <c r="C100" s="31" t="n">
        <f aca="false">(C98-C95)/(C96-C95)</f>
        <v>2.02948629348077</v>
      </c>
      <c r="D100" s="31" t="n">
        <f aca="false">(D98-D95)/(D96-D95)</f>
        <v>0.458380843785633</v>
      </c>
    </row>
    <row r="101" customFormat="false" ht="15" hidden="false" customHeight="true" outlineLevel="0" collapsed="false">
      <c r="A101" s="6" t="s">
        <v>729</v>
      </c>
      <c r="C101" s="93" t="n">
        <f aca="false">C79/C80</f>
        <v>3.86893948193751</v>
      </c>
      <c r="D101" s="93" t="n">
        <f aca="false">D79/D80</f>
        <v>1.65904356624211</v>
      </c>
    </row>
    <row r="102" customFormat="false" ht="15" hidden="false" customHeight="true" outlineLevel="0" collapsed="false">
      <c r="A102" s="6" t="s">
        <v>730</v>
      </c>
      <c r="C102" s="94" t="n">
        <f aca="false">C101/C100</f>
        <v>1.90636393769475</v>
      </c>
      <c r="D102" s="94" t="n">
        <f aca="false">D101/D100</f>
        <v>3.61935623779685</v>
      </c>
    </row>
    <row r="104" customFormat="false" ht="135" hidden="false" customHeight="true" outlineLevel="0" collapsed="false">
      <c r="A104" s="29" t="s">
        <v>731</v>
      </c>
      <c r="B104" s="29"/>
      <c r="C104" s="29"/>
      <c r="D104" s="29"/>
      <c r="E104" s="29"/>
      <c r="F104" s="29"/>
      <c r="G104" s="29"/>
      <c r="H104" s="29"/>
    </row>
  </sheetData>
  <mergeCells count="13">
    <mergeCell ref="A17:G17"/>
    <mergeCell ref="A25:H25"/>
    <mergeCell ref="A32:H32"/>
    <mergeCell ref="A46:H46"/>
    <mergeCell ref="A56:H56"/>
    <mergeCell ref="A61:H61"/>
    <mergeCell ref="A65:H65"/>
    <mergeCell ref="A70:H70"/>
    <mergeCell ref="A73:H73"/>
    <mergeCell ref="A74:H74"/>
    <mergeCell ref="A89:H89"/>
    <mergeCell ref="A93:H93"/>
    <mergeCell ref="A104:H1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2"/>
    <col collapsed="false" customWidth="true" hidden="false" outlineLevel="0" max="3" min="3" style="1" width="11"/>
    <col collapsed="false" customWidth="true" hidden="false" outlineLevel="0" max="4" min="4" style="1" width="86"/>
  </cols>
  <sheetData>
    <row r="1" customFormat="false" ht="17.25" hidden="false" customHeight="true" outlineLevel="0" collapsed="false">
      <c r="A1" s="2" t="s">
        <v>732</v>
      </c>
    </row>
    <row r="3" customFormat="false" ht="15" hidden="false" customHeight="true" outlineLevel="0" collapsed="false">
      <c r="A3" s="8" t="s">
        <v>733</v>
      </c>
      <c r="B3" s="8"/>
      <c r="C3" s="8"/>
      <c r="D3" s="8"/>
    </row>
    <row r="4" customFormat="false" ht="15" hidden="false" customHeight="true" outlineLevel="0" collapsed="false">
      <c r="A4" s="4" t="s">
        <v>46</v>
      </c>
      <c r="B4" s="4" t="s">
        <v>734</v>
      </c>
      <c r="C4" s="4" t="s">
        <v>725</v>
      </c>
      <c r="D4" s="4" t="s">
        <v>735</v>
      </c>
    </row>
    <row r="5" customFormat="false" ht="60" hidden="false" customHeight="true" outlineLevel="0" collapsed="false">
      <c r="A5" s="5" t="n">
        <v>1</v>
      </c>
      <c r="B5" s="95" t="s">
        <v>9</v>
      </c>
      <c r="C5" s="32" t="s">
        <v>736</v>
      </c>
      <c r="D5" s="16" t="s">
        <v>737</v>
      </c>
    </row>
    <row r="6" customFormat="false" ht="45" hidden="false" customHeight="true" outlineLevel="0" collapsed="false">
      <c r="A6" s="5" t="n">
        <v>2</v>
      </c>
      <c r="B6" s="95" t="s">
        <v>738</v>
      </c>
      <c r="C6" s="32" t="s">
        <v>736</v>
      </c>
      <c r="D6" s="16" t="s">
        <v>739</v>
      </c>
    </row>
    <row r="7" customFormat="false" ht="135" hidden="false" customHeight="true" outlineLevel="0" collapsed="false">
      <c r="A7" s="5" t="n">
        <v>3</v>
      </c>
      <c r="B7" s="95" t="s">
        <v>740</v>
      </c>
      <c r="C7" s="17" t="s">
        <v>741</v>
      </c>
      <c r="D7" s="16" t="s">
        <v>742</v>
      </c>
    </row>
    <row r="8" customFormat="false" ht="75" hidden="false" customHeight="true" outlineLevel="0" collapsed="false">
      <c r="A8" s="5" t="n">
        <v>4</v>
      </c>
      <c r="B8" s="95" t="s">
        <v>743</v>
      </c>
      <c r="C8" s="32" t="s">
        <v>736</v>
      </c>
      <c r="D8" s="16" t="s">
        <v>744</v>
      </c>
    </row>
    <row r="9" customFormat="false" ht="60" hidden="false" customHeight="true" outlineLevel="0" collapsed="false">
      <c r="A9" s="5" t="n">
        <v>5</v>
      </c>
      <c r="B9" s="95" t="s">
        <v>745</v>
      </c>
      <c r="C9" s="17" t="s">
        <v>741</v>
      </c>
      <c r="D9" s="16" t="s">
        <v>746</v>
      </c>
    </row>
    <row r="11" customFormat="false" ht="15" hidden="false" customHeight="true" outlineLevel="0" collapsed="false">
      <c r="A11" s="8" t="s">
        <v>747</v>
      </c>
      <c r="B11" s="8"/>
      <c r="C11" s="8"/>
      <c r="D11" s="8"/>
    </row>
    <row r="12" customFormat="false" ht="15" hidden="false" customHeight="true" outlineLevel="0" collapsed="false">
      <c r="A12" s="4" t="s">
        <v>46</v>
      </c>
      <c r="B12" s="4" t="s">
        <v>203</v>
      </c>
      <c r="C12" s="4" t="s">
        <v>725</v>
      </c>
      <c r="D12" s="4" t="s">
        <v>735</v>
      </c>
    </row>
    <row r="13" customFormat="false" ht="30" hidden="false" customHeight="true" outlineLevel="0" collapsed="false">
      <c r="A13" s="5" t="n">
        <v>1</v>
      </c>
      <c r="B13" s="95" t="s">
        <v>748</v>
      </c>
      <c r="C13" s="32" t="s">
        <v>736</v>
      </c>
      <c r="D13" s="16" t="s">
        <v>749</v>
      </c>
    </row>
    <row r="14" customFormat="false" ht="45" hidden="false" customHeight="true" outlineLevel="0" collapsed="false">
      <c r="A14" s="5" t="n">
        <v>2</v>
      </c>
      <c r="B14" s="95" t="s">
        <v>750</v>
      </c>
      <c r="C14" s="32" t="s">
        <v>736</v>
      </c>
      <c r="D14" s="16" t="s">
        <v>751</v>
      </c>
    </row>
    <row r="15" customFormat="false" ht="30" hidden="false" customHeight="true" outlineLevel="0" collapsed="false">
      <c r="A15" s="5" t="n">
        <v>3</v>
      </c>
      <c r="B15" s="95" t="s">
        <v>752</v>
      </c>
      <c r="C15" s="32" t="s">
        <v>736</v>
      </c>
      <c r="D15" s="16" t="s">
        <v>753</v>
      </c>
    </row>
    <row r="16" customFormat="false" ht="30" hidden="false" customHeight="true" outlineLevel="0" collapsed="false">
      <c r="A16" s="5" t="n">
        <v>4</v>
      </c>
      <c r="B16" s="95" t="s">
        <v>754</v>
      </c>
      <c r="C16" s="32" t="s">
        <v>736</v>
      </c>
      <c r="D16" s="16" t="s">
        <v>755</v>
      </c>
    </row>
    <row r="17" customFormat="false" ht="30" hidden="false" customHeight="true" outlineLevel="0" collapsed="false">
      <c r="A17" s="5" t="n">
        <v>5</v>
      </c>
      <c r="B17" s="95" t="s">
        <v>756</v>
      </c>
      <c r="C17" s="32" t="s">
        <v>736</v>
      </c>
      <c r="D17" s="16" t="s">
        <v>757</v>
      </c>
    </row>
    <row r="18" customFormat="false" ht="90" hidden="false" customHeight="true" outlineLevel="0" collapsed="false">
      <c r="A18" s="5" t="n">
        <v>6</v>
      </c>
      <c r="B18" s="95" t="s">
        <v>758</v>
      </c>
      <c r="C18" s="32" t="s">
        <v>736</v>
      </c>
      <c r="D18" s="16" t="s">
        <v>759</v>
      </c>
    </row>
    <row r="19" customFormat="false" ht="45" hidden="false" customHeight="true" outlineLevel="0" collapsed="false">
      <c r="A19" s="5" t="n">
        <v>7</v>
      </c>
      <c r="B19" s="95" t="s">
        <v>760</v>
      </c>
      <c r="C19" s="32" t="s">
        <v>736</v>
      </c>
      <c r="D19" s="16" t="s">
        <v>761</v>
      </c>
    </row>
    <row r="20" customFormat="false" ht="15" hidden="false" customHeight="true" outlineLevel="0" collapsed="false">
      <c r="A20" s="5" t="n">
        <v>8</v>
      </c>
      <c r="B20" s="95" t="s">
        <v>762</v>
      </c>
      <c r="C20" s="32" t="s">
        <v>736</v>
      </c>
      <c r="D20" s="16" t="s">
        <v>763</v>
      </c>
    </row>
    <row r="21" customFormat="false" ht="45" hidden="false" customHeight="true" outlineLevel="0" collapsed="false">
      <c r="A21" s="5" t="n">
        <v>9</v>
      </c>
      <c r="B21" s="95" t="s">
        <v>764</v>
      </c>
      <c r="C21" s="17" t="s">
        <v>741</v>
      </c>
      <c r="D21" s="16" t="s">
        <v>765</v>
      </c>
    </row>
    <row r="22" customFormat="false" ht="15" hidden="false" customHeight="true" outlineLevel="0" collapsed="false">
      <c r="A22" s="5" t="n">
        <v>10</v>
      </c>
      <c r="B22" s="95" t="s">
        <v>766</v>
      </c>
      <c r="C22" s="32" t="s">
        <v>736</v>
      </c>
      <c r="D22" s="16" t="s">
        <v>767</v>
      </c>
    </row>
    <row r="24" customFormat="false" ht="15" hidden="false" customHeight="true" outlineLevel="0" collapsed="false">
      <c r="A24" s="8" t="s">
        <v>768</v>
      </c>
      <c r="B24" s="8"/>
      <c r="C24" s="8"/>
      <c r="D24" s="8"/>
    </row>
    <row r="25" customFormat="false" ht="45" hidden="false" customHeight="true" outlineLevel="0" collapsed="false">
      <c r="B25" s="96" t="s">
        <v>769</v>
      </c>
      <c r="D25" s="16" t="s">
        <v>770</v>
      </c>
    </row>
    <row r="26" customFormat="false" ht="45" hidden="false" customHeight="true" outlineLevel="0" collapsed="false">
      <c r="B26" s="96" t="s">
        <v>771</v>
      </c>
      <c r="D26" s="16" t="s">
        <v>772</v>
      </c>
    </row>
    <row r="27" customFormat="false" ht="45" hidden="false" customHeight="true" outlineLevel="0" collapsed="false">
      <c r="B27" s="96" t="s">
        <v>773</v>
      </c>
      <c r="D27" s="16" t="s">
        <v>774</v>
      </c>
    </row>
    <row r="30" customFormat="false" ht="15" hidden="false" customHeight="true" outlineLevel="0" collapsed="false">
      <c r="A30" s="8" t="s">
        <v>775</v>
      </c>
      <c r="B30" s="8"/>
      <c r="C30" s="8"/>
      <c r="D30" s="8"/>
    </row>
    <row r="31" customFormat="false" ht="15" hidden="false" customHeight="true" outlineLevel="0" collapsed="false">
      <c r="A31" s="14" t="s">
        <v>46</v>
      </c>
      <c r="B31" s="14" t="s">
        <v>203</v>
      </c>
      <c r="C31" s="14" t="s">
        <v>725</v>
      </c>
      <c r="D31" s="14" t="s">
        <v>776</v>
      </c>
    </row>
    <row r="32" customFormat="false" ht="30" hidden="false" customHeight="true" outlineLevel="0" collapsed="false">
      <c r="A32" s="5" t="n">
        <v>1</v>
      </c>
      <c r="B32" s="95" t="s">
        <v>777</v>
      </c>
      <c r="C32" s="32" t="s">
        <v>736</v>
      </c>
      <c r="D32" s="16" t="s">
        <v>778</v>
      </c>
    </row>
    <row r="33" customFormat="false" ht="45" hidden="false" customHeight="true" outlineLevel="0" collapsed="false">
      <c r="A33" s="5" t="n">
        <v>2</v>
      </c>
      <c r="B33" s="95" t="s">
        <v>779</v>
      </c>
      <c r="C33" s="32" t="s">
        <v>736</v>
      </c>
      <c r="D33" s="16" t="s">
        <v>780</v>
      </c>
    </row>
    <row r="34" customFormat="false" ht="75" hidden="false" customHeight="true" outlineLevel="0" collapsed="false">
      <c r="A34" s="5" t="n">
        <v>3</v>
      </c>
      <c r="B34" s="95" t="s">
        <v>781</v>
      </c>
      <c r="C34" s="32" t="s">
        <v>736</v>
      </c>
      <c r="D34" s="16" t="s">
        <v>782</v>
      </c>
    </row>
    <row r="35" customFormat="false" ht="75" hidden="false" customHeight="true" outlineLevel="0" collapsed="false">
      <c r="A35" s="5" t="n">
        <v>4</v>
      </c>
      <c r="B35" s="95" t="s">
        <v>783</v>
      </c>
      <c r="C35" s="17" t="s">
        <v>741</v>
      </c>
      <c r="D35" s="16" t="s">
        <v>784</v>
      </c>
    </row>
    <row r="36" customFormat="false" ht="30" hidden="false" customHeight="true" outlineLevel="0" collapsed="false">
      <c r="A36" s="5" t="n">
        <v>5</v>
      </c>
      <c r="B36" s="95" t="s">
        <v>785</v>
      </c>
      <c r="C36" s="32" t="s">
        <v>736</v>
      </c>
      <c r="D36" s="16" t="s">
        <v>786</v>
      </c>
    </row>
    <row r="37" customFormat="false" ht="75" hidden="false" customHeight="true" outlineLevel="0" collapsed="false">
      <c r="A37" s="5" t="n">
        <v>6</v>
      </c>
      <c r="B37" s="95" t="s">
        <v>787</v>
      </c>
      <c r="C37" s="32" t="s">
        <v>736</v>
      </c>
      <c r="D37" s="16" t="s">
        <v>788</v>
      </c>
    </row>
    <row r="38" customFormat="false" ht="30" hidden="false" customHeight="true" outlineLevel="0" collapsed="false">
      <c r="A38" s="5" t="n">
        <v>7</v>
      </c>
      <c r="B38" s="95" t="s">
        <v>789</v>
      </c>
      <c r="C38" s="32" t="s">
        <v>736</v>
      </c>
      <c r="D38" s="16" t="s">
        <v>790</v>
      </c>
    </row>
    <row r="40" customFormat="false" ht="75" hidden="false" customHeight="true" outlineLevel="0" collapsed="false">
      <c r="A40" s="13" t="s">
        <v>791</v>
      </c>
      <c r="B40" s="13"/>
      <c r="C40" s="13"/>
      <c r="D40" s="13"/>
    </row>
    <row r="43" customFormat="false" ht="15" hidden="false" customHeight="true" outlineLevel="0" collapsed="false">
      <c r="A43" s="8" t="s">
        <v>775</v>
      </c>
      <c r="B43" s="8"/>
      <c r="C43" s="8"/>
      <c r="D43" s="8"/>
    </row>
    <row r="44" customFormat="false" ht="15" hidden="false" customHeight="true" outlineLevel="0" collapsed="false">
      <c r="A44" s="14" t="s">
        <v>46</v>
      </c>
      <c r="B44" s="14" t="s">
        <v>203</v>
      </c>
      <c r="C44" s="14" t="s">
        <v>725</v>
      </c>
      <c r="D44" s="14" t="s">
        <v>776</v>
      </c>
    </row>
    <row r="45" customFormat="false" ht="30" hidden="false" customHeight="true" outlineLevel="0" collapsed="false">
      <c r="A45" s="5" t="n">
        <v>1</v>
      </c>
      <c r="B45" s="95" t="s">
        <v>777</v>
      </c>
      <c r="C45" s="32" t="s">
        <v>736</v>
      </c>
      <c r="D45" s="16" t="s">
        <v>778</v>
      </c>
    </row>
    <row r="46" customFormat="false" ht="45" hidden="false" customHeight="true" outlineLevel="0" collapsed="false">
      <c r="A46" s="5" t="n">
        <v>2</v>
      </c>
      <c r="B46" s="95" t="s">
        <v>779</v>
      </c>
      <c r="C46" s="32" t="s">
        <v>736</v>
      </c>
      <c r="D46" s="16" t="s">
        <v>780</v>
      </c>
    </row>
    <row r="47" customFormat="false" ht="75" hidden="false" customHeight="true" outlineLevel="0" collapsed="false">
      <c r="A47" s="5" t="n">
        <v>3</v>
      </c>
      <c r="B47" s="95" t="s">
        <v>781</v>
      </c>
      <c r="C47" s="32" t="s">
        <v>736</v>
      </c>
      <c r="D47" s="16" t="s">
        <v>782</v>
      </c>
    </row>
    <row r="48" customFormat="false" ht="75" hidden="false" customHeight="true" outlineLevel="0" collapsed="false">
      <c r="A48" s="5" t="n">
        <v>4</v>
      </c>
      <c r="B48" s="95" t="s">
        <v>783</v>
      </c>
      <c r="C48" s="17" t="s">
        <v>741</v>
      </c>
      <c r="D48" s="16" t="s">
        <v>784</v>
      </c>
    </row>
    <row r="49" customFormat="false" ht="30" hidden="false" customHeight="true" outlineLevel="0" collapsed="false">
      <c r="A49" s="5" t="n">
        <v>5</v>
      </c>
      <c r="B49" s="95" t="s">
        <v>785</v>
      </c>
      <c r="C49" s="32" t="s">
        <v>736</v>
      </c>
      <c r="D49" s="16" t="s">
        <v>786</v>
      </c>
    </row>
    <row r="50" customFormat="false" ht="75" hidden="false" customHeight="true" outlineLevel="0" collapsed="false">
      <c r="A50" s="5" t="n">
        <v>6</v>
      </c>
      <c r="B50" s="95" t="s">
        <v>787</v>
      </c>
      <c r="C50" s="32" t="s">
        <v>736</v>
      </c>
      <c r="D50" s="16" t="s">
        <v>788</v>
      </c>
    </row>
    <row r="51" customFormat="false" ht="30" hidden="false" customHeight="true" outlineLevel="0" collapsed="false">
      <c r="A51" s="5" t="n">
        <v>7</v>
      </c>
      <c r="B51" s="95" t="s">
        <v>789</v>
      </c>
      <c r="C51" s="32" t="s">
        <v>736</v>
      </c>
      <c r="D51" s="16" t="s">
        <v>790</v>
      </c>
    </row>
    <row r="53" customFormat="false" ht="75" hidden="false" customHeight="true" outlineLevel="0" collapsed="false">
      <c r="A53" s="13" t="s">
        <v>791</v>
      </c>
      <c r="B53" s="13"/>
      <c r="C53" s="13"/>
      <c r="D53" s="13"/>
    </row>
    <row r="56" customFormat="false" ht="15" hidden="false" customHeight="true" outlineLevel="0" collapsed="false">
      <c r="A56" s="8" t="s">
        <v>775</v>
      </c>
      <c r="B56" s="8"/>
      <c r="C56" s="8"/>
      <c r="D56" s="8"/>
    </row>
    <row r="57" customFormat="false" ht="15" hidden="false" customHeight="true" outlineLevel="0" collapsed="false">
      <c r="A57" s="14" t="s">
        <v>46</v>
      </c>
      <c r="B57" s="14" t="s">
        <v>203</v>
      </c>
      <c r="C57" s="14" t="s">
        <v>725</v>
      </c>
      <c r="D57" s="14" t="s">
        <v>776</v>
      </c>
    </row>
    <row r="58" customFormat="false" ht="30" hidden="false" customHeight="true" outlineLevel="0" collapsed="false">
      <c r="A58" s="5" t="n">
        <v>1</v>
      </c>
      <c r="B58" s="95" t="s">
        <v>777</v>
      </c>
      <c r="C58" s="32" t="s">
        <v>736</v>
      </c>
      <c r="D58" s="16" t="s">
        <v>778</v>
      </c>
    </row>
    <row r="59" customFormat="false" ht="45" hidden="false" customHeight="true" outlineLevel="0" collapsed="false">
      <c r="A59" s="5" t="n">
        <v>2</v>
      </c>
      <c r="B59" s="95" t="s">
        <v>779</v>
      </c>
      <c r="C59" s="32" t="s">
        <v>736</v>
      </c>
      <c r="D59" s="16" t="s">
        <v>780</v>
      </c>
    </row>
    <row r="60" customFormat="false" ht="75" hidden="false" customHeight="true" outlineLevel="0" collapsed="false">
      <c r="A60" s="5" t="n">
        <v>3</v>
      </c>
      <c r="B60" s="95" t="s">
        <v>781</v>
      </c>
      <c r="C60" s="32" t="s">
        <v>736</v>
      </c>
      <c r="D60" s="16" t="s">
        <v>782</v>
      </c>
    </row>
    <row r="61" customFormat="false" ht="75" hidden="false" customHeight="true" outlineLevel="0" collapsed="false">
      <c r="A61" s="5" t="n">
        <v>4</v>
      </c>
      <c r="B61" s="95" t="s">
        <v>783</v>
      </c>
      <c r="C61" s="17" t="s">
        <v>741</v>
      </c>
      <c r="D61" s="16" t="s">
        <v>784</v>
      </c>
    </row>
    <row r="62" customFormat="false" ht="30" hidden="false" customHeight="true" outlineLevel="0" collapsed="false">
      <c r="A62" s="5" t="n">
        <v>5</v>
      </c>
      <c r="B62" s="95" t="s">
        <v>785</v>
      </c>
      <c r="C62" s="32" t="s">
        <v>736</v>
      </c>
      <c r="D62" s="16" t="s">
        <v>786</v>
      </c>
    </row>
    <row r="63" customFormat="false" ht="75" hidden="false" customHeight="true" outlineLevel="0" collapsed="false">
      <c r="A63" s="5" t="n">
        <v>6</v>
      </c>
      <c r="B63" s="95" t="s">
        <v>787</v>
      </c>
      <c r="C63" s="32" t="s">
        <v>736</v>
      </c>
      <c r="D63" s="16" t="s">
        <v>788</v>
      </c>
    </row>
    <row r="64" customFormat="false" ht="30" hidden="false" customHeight="true" outlineLevel="0" collapsed="false">
      <c r="A64" s="5" t="n">
        <v>7</v>
      </c>
      <c r="B64" s="95" t="s">
        <v>789</v>
      </c>
      <c r="C64" s="32" t="s">
        <v>736</v>
      </c>
      <c r="D64" s="16" t="s">
        <v>790</v>
      </c>
    </row>
    <row r="66" customFormat="false" ht="75" hidden="false" customHeight="true" outlineLevel="0" collapsed="false">
      <c r="A66" s="13" t="s">
        <v>791</v>
      </c>
      <c r="B66" s="13"/>
      <c r="C66" s="13"/>
      <c r="D66" s="13"/>
    </row>
    <row r="69" customFormat="false" ht="15" hidden="false" customHeight="true" outlineLevel="0" collapsed="false">
      <c r="A69" s="8" t="s">
        <v>775</v>
      </c>
      <c r="B69" s="8"/>
      <c r="C69" s="8"/>
      <c r="D69" s="8"/>
    </row>
    <row r="70" customFormat="false" ht="15" hidden="false" customHeight="true" outlineLevel="0" collapsed="false">
      <c r="A70" s="14" t="s">
        <v>46</v>
      </c>
      <c r="B70" s="14" t="s">
        <v>203</v>
      </c>
      <c r="C70" s="14" t="s">
        <v>725</v>
      </c>
      <c r="D70" s="14" t="s">
        <v>776</v>
      </c>
    </row>
    <row r="71" customFormat="false" ht="30" hidden="false" customHeight="true" outlineLevel="0" collapsed="false">
      <c r="A71" s="5" t="n">
        <v>1</v>
      </c>
      <c r="B71" s="95" t="s">
        <v>777</v>
      </c>
      <c r="C71" s="32" t="s">
        <v>736</v>
      </c>
      <c r="D71" s="16" t="s">
        <v>778</v>
      </c>
    </row>
    <row r="72" customFormat="false" ht="45" hidden="false" customHeight="true" outlineLevel="0" collapsed="false">
      <c r="A72" s="5" t="n">
        <v>2</v>
      </c>
      <c r="B72" s="95" t="s">
        <v>779</v>
      </c>
      <c r="C72" s="32" t="s">
        <v>736</v>
      </c>
      <c r="D72" s="16" t="s">
        <v>780</v>
      </c>
    </row>
    <row r="73" customFormat="false" ht="75" hidden="false" customHeight="true" outlineLevel="0" collapsed="false">
      <c r="A73" s="5" t="n">
        <v>3</v>
      </c>
      <c r="B73" s="95" t="s">
        <v>781</v>
      </c>
      <c r="C73" s="32" t="s">
        <v>736</v>
      </c>
      <c r="D73" s="16" t="s">
        <v>782</v>
      </c>
    </row>
    <row r="74" customFormat="false" ht="75" hidden="false" customHeight="true" outlineLevel="0" collapsed="false">
      <c r="A74" s="5" t="n">
        <v>4</v>
      </c>
      <c r="B74" s="95" t="s">
        <v>783</v>
      </c>
      <c r="C74" s="17" t="s">
        <v>741</v>
      </c>
      <c r="D74" s="16" t="s">
        <v>784</v>
      </c>
    </row>
    <row r="75" customFormat="false" ht="30" hidden="false" customHeight="true" outlineLevel="0" collapsed="false">
      <c r="A75" s="5" t="n">
        <v>5</v>
      </c>
      <c r="B75" s="95" t="s">
        <v>785</v>
      </c>
      <c r="C75" s="32" t="s">
        <v>736</v>
      </c>
      <c r="D75" s="16" t="s">
        <v>786</v>
      </c>
    </row>
    <row r="76" customFormat="false" ht="75" hidden="false" customHeight="true" outlineLevel="0" collapsed="false">
      <c r="A76" s="5" t="n">
        <v>6</v>
      </c>
      <c r="B76" s="95" t="s">
        <v>787</v>
      </c>
      <c r="C76" s="32" t="s">
        <v>736</v>
      </c>
      <c r="D76" s="16" t="s">
        <v>788</v>
      </c>
    </row>
    <row r="77" customFormat="false" ht="30" hidden="false" customHeight="true" outlineLevel="0" collapsed="false">
      <c r="A77" s="5" t="n">
        <v>7</v>
      </c>
      <c r="B77" s="95" t="s">
        <v>789</v>
      </c>
      <c r="C77" s="32" t="s">
        <v>736</v>
      </c>
      <c r="D77" s="16" t="s">
        <v>790</v>
      </c>
    </row>
    <row r="79" customFormat="false" ht="75" hidden="false" customHeight="true" outlineLevel="0" collapsed="false">
      <c r="A79" s="13" t="s">
        <v>791</v>
      </c>
      <c r="B79" s="13"/>
      <c r="C79" s="13"/>
      <c r="D79" s="13"/>
    </row>
    <row r="82" customFormat="false" ht="15" hidden="false" customHeight="true" outlineLevel="0" collapsed="false">
      <c r="A82" s="8" t="s">
        <v>775</v>
      </c>
      <c r="B82" s="8"/>
      <c r="C82" s="8"/>
      <c r="D82" s="8"/>
    </row>
    <row r="83" customFormat="false" ht="15" hidden="false" customHeight="true" outlineLevel="0" collapsed="false">
      <c r="A83" s="14" t="s">
        <v>46</v>
      </c>
      <c r="B83" s="14" t="s">
        <v>203</v>
      </c>
      <c r="C83" s="14" t="s">
        <v>725</v>
      </c>
      <c r="D83" s="14" t="s">
        <v>776</v>
      </c>
    </row>
    <row r="84" customFormat="false" ht="30" hidden="false" customHeight="true" outlineLevel="0" collapsed="false">
      <c r="A84" s="5" t="n">
        <v>1</v>
      </c>
      <c r="B84" s="95" t="s">
        <v>777</v>
      </c>
      <c r="C84" s="32" t="s">
        <v>736</v>
      </c>
      <c r="D84" s="16" t="s">
        <v>778</v>
      </c>
    </row>
    <row r="85" customFormat="false" ht="45" hidden="false" customHeight="true" outlineLevel="0" collapsed="false">
      <c r="A85" s="5" t="n">
        <v>2</v>
      </c>
      <c r="B85" s="95" t="s">
        <v>779</v>
      </c>
      <c r="C85" s="32" t="s">
        <v>736</v>
      </c>
      <c r="D85" s="16" t="s">
        <v>780</v>
      </c>
    </row>
    <row r="86" customFormat="false" ht="75" hidden="false" customHeight="true" outlineLevel="0" collapsed="false">
      <c r="A86" s="5" t="n">
        <v>3</v>
      </c>
      <c r="B86" s="95" t="s">
        <v>781</v>
      </c>
      <c r="C86" s="32" t="s">
        <v>736</v>
      </c>
      <c r="D86" s="16" t="s">
        <v>782</v>
      </c>
    </row>
    <row r="87" customFormat="false" ht="75" hidden="false" customHeight="true" outlineLevel="0" collapsed="false">
      <c r="A87" s="5" t="n">
        <v>4</v>
      </c>
      <c r="B87" s="95" t="s">
        <v>783</v>
      </c>
      <c r="C87" s="17" t="s">
        <v>741</v>
      </c>
      <c r="D87" s="16" t="s">
        <v>784</v>
      </c>
    </row>
    <row r="88" customFormat="false" ht="30" hidden="false" customHeight="true" outlineLevel="0" collapsed="false">
      <c r="A88" s="5" t="n">
        <v>5</v>
      </c>
      <c r="B88" s="95" t="s">
        <v>785</v>
      </c>
      <c r="C88" s="32" t="s">
        <v>736</v>
      </c>
      <c r="D88" s="16" t="s">
        <v>786</v>
      </c>
    </row>
    <row r="89" customFormat="false" ht="75" hidden="false" customHeight="true" outlineLevel="0" collapsed="false">
      <c r="A89" s="5" t="n">
        <v>6</v>
      </c>
      <c r="B89" s="95" t="s">
        <v>787</v>
      </c>
      <c r="C89" s="32" t="s">
        <v>736</v>
      </c>
      <c r="D89" s="16" t="s">
        <v>788</v>
      </c>
    </row>
    <row r="90" customFormat="false" ht="30" hidden="false" customHeight="true" outlineLevel="0" collapsed="false">
      <c r="A90" s="5" t="n">
        <v>7</v>
      </c>
      <c r="B90" s="95" t="s">
        <v>789</v>
      </c>
      <c r="C90" s="32" t="s">
        <v>736</v>
      </c>
      <c r="D90" s="16" t="s">
        <v>790</v>
      </c>
    </row>
    <row r="92" customFormat="false" ht="75" hidden="false" customHeight="true" outlineLevel="0" collapsed="false">
      <c r="A92" s="13" t="s">
        <v>791</v>
      </c>
      <c r="B92" s="13"/>
      <c r="C92" s="13"/>
      <c r="D92" s="13"/>
    </row>
    <row r="95" customFormat="false" ht="15" hidden="false" customHeight="true" outlineLevel="0" collapsed="false">
      <c r="A95" s="8" t="s">
        <v>775</v>
      </c>
      <c r="B95" s="8"/>
      <c r="C95" s="8"/>
      <c r="D95" s="8"/>
    </row>
    <row r="96" customFormat="false" ht="15" hidden="false" customHeight="true" outlineLevel="0" collapsed="false">
      <c r="A96" s="14" t="s">
        <v>46</v>
      </c>
      <c r="B96" s="14" t="s">
        <v>203</v>
      </c>
      <c r="C96" s="14" t="s">
        <v>725</v>
      </c>
      <c r="D96" s="14" t="s">
        <v>776</v>
      </c>
    </row>
    <row r="97" customFormat="false" ht="30" hidden="false" customHeight="true" outlineLevel="0" collapsed="false">
      <c r="A97" s="5" t="n">
        <v>1</v>
      </c>
      <c r="B97" s="95" t="s">
        <v>777</v>
      </c>
      <c r="C97" s="32" t="s">
        <v>736</v>
      </c>
      <c r="D97" s="16" t="s">
        <v>778</v>
      </c>
    </row>
    <row r="98" customFormat="false" ht="45" hidden="false" customHeight="true" outlineLevel="0" collapsed="false">
      <c r="A98" s="5" t="n">
        <v>2</v>
      </c>
      <c r="B98" s="95" t="s">
        <v>779</v>
      </c>
      <c r="C98" s="32" t="s">
        <v>736</v>
      </c>
      <c r="D98" s="16" t="s">
        <v>780</v>
      </c>
    </row>
    <row r="99" customFormat="false" ht="75" hidden="false" customHeight="true" outlineLevel="0" collapsed="false">
      <c r="A99" s="5" t="n">
        <v>3</v>
      </c>
      <c r="B99" s="95" t="s">
        <v>781</v>
      </c>
      <c r="C99" s="32" t="s">
        <v>736</v>
      </c>
      <c r="D99" s="16" t="s">
        <v>782</v>
      </c>
    </row>
    <row r="100" customFormat="false" ht="75" hidden="false" customHeight="true" outlineLevel="0" collapsed="false">
      <c r="A100" s="5" t="n">
        <v>4</v>
      </c>
      <c r="B100" s="95" t="s">
        <v>783</v>
      </c>
      <c r="C100" s="17" t="s">
        <v>741</v>
      </c>
      <c r="D100" s="16" t="s">
        <v>784</v>
      </c>
    </row>
    <row r="101" customFormat="false" ht="30" hidden="false" customHeight="true" outlineLevel="0" collapsed="false">
      <c r="A101" s="5" t="n">
        <v>5</v>
      </c>
      <c r="B101" s="95" t="s">
        <v>785</v>
      </c>
      <c r="C101" s="32" t="s">
        <v>736</v>
      </c>
      <c r="D101" s="16" t="s">
        <v>786</v>
      </c>
    </row>
    <row r="102" customFormat="false" ht="75" hidden="false" customHeight="true" outlineLevel="0" collapsed="false">
      <c r="A102" s="5" t="n">
        <v>6</v>
      </c>
      <c r="B102" s="95" t="s">
        <v>787</v>
      </c>
      <c r="C102" s="32" t="s">
        <v>736</v>
      </c>
      <c r="D102" s="16" t="s">
        <v>788</v>
      </c>
    </row>
    <row r="103" customFormat="false" ht="30" hidden="false" customHeight="true" outlineLevel="0" collapsed="false">
      <c r="A103" s="5" t="n">
        <v>7</v>
      </c>
      <c r="B103" s="95" t="s">
        <v>789</v>
      </c>
      <c r="C103" s="32" t="s">
        <v>736</v>
      </c>
      <c r="D103" s="16" t="s">
        <v>790</v>
      </c>
    </row>
    <row r="105" customFormat="false" ht="75" hidden="false" customHeight="true" outlineLevel="0" collapsed="false">
      <c r="A105" s="13" t="s">
        <v>791</v>
      </c>
      <c r="B105" s="13"/>
      <c r="C105" s="13"/>
      <c r="D105" s="13"/>
    </row>
  </sheetData>
  <mergeCells count="15">
    <mergeCell ref="A3:D3"/>
    <mergeCell ref="A11:D11"/>
    <mergeCell ref="A24:D24"/>
    <mergeCell ref="A30:D30"/>
    <mergeCell ref="A40:D40"/>
    <mergeCell ref="A43:D43"/>
    <mergeCell ref="A53:D53"/>
    <mergeCell ref="A56:D56"/>
    <mergeCell ref="A66:D66"/>
    <mergeCell ref="A69:D69"/>
    <mergeCell ref="A79:D79"/>
    <mergeCell ref="A82:D82"/>
    <mergeCell ref="A92:D92"/>
    <mergeCell ref="A95:D95"/>
    <mergeCell ref="A105:D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5" min="2" style="1" width="16"/>
    <col collapsed="false" customWidth="true" hidden="false" outlineLevel="0" max="6" min="6" style="1" width="44"/>
  </cols>
  <sheetData>
    <row r="1" customFormat="false" ht="17.25" hidden="false" customHeight="true" outlineLevel="0" collapsed="false">
      <c r="A1" s="2" t="s">
        <v>792</v>
      </c>
    </row>
    <row r="2" customFormat="false" ht="15" hidden="false" customHeight="true" outlineLevel="0" collapsed="false">
      <c r="A2" s="3" t="s">
        <v>793</v>
      </c>
    </row>
    <row r="4" customFormat="false" ht="15" hidden="false" customHeight="true" outlineLevel="0" collapsed="false">
      <c r="A4" s="8" t="s">
        <v>794</v>
      </c>
      <c r="B4" s="8"/>
      <c r="C4" s="8"/>
      <c r="D4" s="8"/>
      <c r="E4" s="8"/>
      <c r="F4" s="8"/>
    </row>
    <row r="5" customFormat="false" ht="15" hidden="false" customHeight="true" outlineLevel="0" collapsed="false">
      <c r="A5" s="6" t="s">
        <v>795</v>
      </c>
      <c r="B5" s="97" t="n">
        <v>400.9</v>
      </c>
      <c r="F5" s="3" t="s">
        <v>796</v>
      </c>
    </row>
    <row r="6" customFormat="false" ht="15" hidden="false" customHeight="true" outlineLevel="0" collapsed="false">
      <c r="A6" s="6" t="s">
        <v>294</v>
      </c>
      <c r="B6" s="35" t="n">
        <f aca="false">'AMB-Assumptions'!$B$14</f>
        <v>99095</v>
      </c>
    </row>
    <row r="8" customFormat="false" ht="15" hidden="false" customHeight="true" outlineLevel="0" collapsed="false">
      <c r="A8" s="8" t="s">
        <v>797</v>
      </c>
      <c r="B8" s="8"/>
      <c r="C8" s="8"/>
      <c r="D8" s="8"/>
      <c r="E8" s="8"/>
      <c r="F8" s="8"/>
    </row>
    <row r="9" customFormat="false" ht="26.25" hidden="false" customHeight="true" outlineLevel="0" collapsed="false">
      <c r="A9" s="4" t="s">
        <v>589</v>
      </c>
      <c r="B9" s="4" t="s">
        <v>590</v>
      </c>
      <c r="C9" s="4" t="s">
        <v>798</v>
      </c>
      <c r="D9" s="4" t="s">
        <v>591</v>
      </c>
      <c r="E9" s="4" t="s">
        <v>799</v>
      </c>
      <c r="F9" s="4"/>
    </row>
    <row r="10" customFormat="false" ht="15" hidden="false" customHeight="true" outlineLevel="0" collapsed="false">
      <c r="A10" s="6" t="s">
        <v>17</v>
      </c>
      <c r="B10" s="5" t="s">
        <v>593</v>
      </c>
      <c r="C10" s="55" t="n">
        <f aca="false">'AMB-Cost of Capital'!$B$13</f>
        <v>0.113746088786624</v>
      </c>
      <c r="D10" s="71" t="n">
        <f aca="false">'AMB-FCFF valuation'!C16</f>
        <v>98.8547737527392</v>
      </c>
      <c r="E10" s="87" t="n">
        <f aca="false">IFERROR(D10/$B$5-1,"")</f>
        <v>-0.753417875398506</v>
      </c>
    </row>
    <row r="11" customFormat="false" ht="15" hidden="false" customHeight="true" outlineLevel="0" collapsed="false">
      <c r="A11" s="6" t="s">
        <v>19</v>
      </c>
      <c r="B11" s="5" t="s">
        <v>594</v>
      </c>
      <c r="C11" s="55" t="n">
        <f aca="false">'AMB-Cost of Capital'!$B$14</f>
        <v>0.113920506741639</v>
      </c>
      <c r="D11" s="71" t="n">
        <f aca="false">'AMB-CCF valuation'!C16</f>
        <v>98.8547737527393</v>
      </c>
      <c r="E11" s="87" t="n">
        <f aca="false">IFERROR(D11/$B$5-1,"")</f>
        <v>-0.753417875398505</v>
      </c>
    </row>
    <row r="12" customFormat="false" ht="15" hidden="false" customHeight="true" outlineLevel="0" collapsed="false">
      <c r="A12" s="6" t="s">
        <v>21</v>
      </c>
      <c r="B12" s="5" t="s">
        <v>594</v>
      </c>
      <c r="C12" s="55" t="n">
        <f aca="false">'AMB-Cost of Capital'!$B$14</f>
        <v>0.113920506741639</v>
      </c>
      <c r="D12" s="71" t="n">
        <f aca="false">'AMB-APV valuation'!C16</f>
        <v>98.8547737527392</v>
      </c>
      <c r="E12" s="87" t="n">
        <f aca="false">IFERROR(D12/$B$5-1,"")</f>
        <v>-0.753417875398505</v>
      </c>
    </row>
    <row r="13" customFormat="false" ht="15" hidden="false" customHeight="true" outlineLevel="0" collapsed="false">
      <c r="A13" s="6" t="s">
        <v>23</v>
      </c>
      <c r="B13" s="5" t="s">
        <v>595</v>
      </c>
      <c r="C13" s="55" t="n">
        <f aca="false">'AMB-Cost of Capital'!$B$8</f>
        <v>0.114216917099405</v>
      </c>
      <c r="D13" s="71" t="n">
        <f aca="false">'AMB-FCFE valuation'!C19</f>
        <v>98.8547737527393</v>
      </c>
      <c r="E13" s="87" t="n">
        <f aca="false">IFERROR(D13/$B$5-1,"")</f>
        <v>-0.753417875398505</v>
      </c>
    </row>
    <row r="14" customFormat="false" ht="15" hidden="false" customHeight="true" outlineLevel="0" collapsed="false">
      <c r="A14" s="6" t="s">
        <v>25</v>
      </c>
      <c r="B14" s="5" t="s">
        <v>593</v>
      </c>
      <c r="C14" s="55" t="n">
        <f aca="false">'AMB-Cost of Capital'!$B$13</f>
        <v>0.113746088786624</v>
      </c>
      <c r="D14" s="71" t="n">
        <f aca="false">'AMB-EVA'!C15</f>
        <v>98.8547737527392</v>
      </c>
      <c r="E14" s="87" t="n">
        <f aca="false">IFERROR(D14/$B$5-1,"")</f>
        <v>-0.753417875398505</v>
      </c>
    </row>
    <row r="16" customFormat="false" ht="15" hidden="false" customHeight="true" outlineLevel="0" collapsed="false">
      <c r="A16" s="8" t="s">
        <v>800</v>
      </c>
      <c r="B16" s="8"/>
      <c r="C16" s="8"/>
      <c r="D16" s="8"/>
      <c r="E16" s="8"/>
      <c r="F16" s="8"/>
    </row>
    <row r="17" customFormat="false" ht="15" hidden="false" customHeight="true" outlineLevel="0" collapsed="false">
      <c r="A17" s="4" t="s">
        <v>213</v>
      </c>
      <c r="B17" s="4" t="s">
        <v>801</v>
      </c>
      <c r="C17" s="4" t="s">
        <v>802</v>
      </c>
      <c r="D17" s="4" t="s">
        <v>591</v>
      </c>
      <c r="E17" s="4"/>
      <c r="F17" s="4"/>
    </row>
    <row r="18" customFormat="false" ht="15" hidden="false" customHeight="true" outlineLevel="0" collapsed="false">
      <c r="A18" s="6" t="s">
        <v>803</v>
      </c>
      <c r="B18" s="35" t="n">
        <f aca="false">'AMB-FCFF valuation'!C15</f>
        <v>24434.9229762021</v>
      </c>
      <c r="C18" s="97" t="n">
        <f aca="false">'AMB-Assumptions'!$B$15</f>
        <v>247.18</v>
      </c>
      <c r="D18" s="69" t="n">
        <f aca="false">B18/C18</f>
        <v>98.8547737527392</v>
      </c>
    </row>
    <row r="19" customFormat="false" ht="15" hidden="false" customHeight="true" outlineLevel="0" collapsed="false">
      <c r="A19" s="6" t="s">
        <v>804</v>
      </c>
      <c r="B19" s="26" t="n">
        <f aca="false">'AMB-FCFF valuation'!C15+'AMB-Assumptions'!$B$18</f>
        <v>36933.8429762021</v>
      </c>
      <c r="C19" s="40" t="n">
        <f aca="false">'AMB-Assumptions'!$B$15*1.137</f>
        <v>281.04366</v>
      </c>
      <c r="D19" s="69" t="n">
        <f aca="false">B19/C19</f>
        <v>131.416744915015</v>
      </c>
    </row>
    <row r="21" customFormat="false" ht="75" hidden="false" customHeight="true" outlineLevel="0" collapsed="false">
      <c r="A21" s="13" t="s">
        <v>805</v>
      </c>
      <c r="B21" s="13"/>
      <c r="C21" s="13"/>
      <c r="D21" s="13"/>
      <c r="E21" s="13"/>
      <c r="F21" s="13"/>
    </row>
    <row r="23" customFormat="false" ht="15" hidden="false" customHeight="true" outlineLevel="0" collapsed="false">
      <c r="A23" s="8" t="s">
        <v>806</v>
      </c>
      <c r="B23" s="8"/>
      <c r="C23" s="8"/>
      <c r="D23" s="8"/>
      <c r="E23" s="8"/>
      <c r="F23" s="8"/>
    </row>
    <row r="24" customFormat="false" ht="26.25" hidden="false" customHeight="true" outlineLevel="0" collapsed="false">
      <c r="A24" s="4" t="s">
        <v>337</v>
      </c>
      <c r="B24" s="4" t="s">
        <v>807</v>
      </c>
      <c r="C24" s="4" t="s">
        <v>808</v>
      </c>
      <c r="D24" s="4" t="s">
        <v>809</v>
      </c>
      <c r="E24" s="4" t="s">
        <v>810</v>
      </c>
      <c r="F24" s="4"/>
    </row>
    <row r="25" customFormat="false" ht="30" hidden="false" customHeight="true" outlineLevel="0" collapsed="false">
      <c r="A25" s="6" t="s">
        <v>811</v>
      </c>
      <c r="B25" s="16" t="s">
        <v>812</v>
      </c>
      <c r="C25" s="16" t="s">
        <v>813</v>
      </c>
      <c r="D25" s="23" t="n">
        <v>0</v>
      </c>
      <c r="E25" s="98" t="n">
        <f aca="false">D25/'AMB-Assumptions'!$B$15</f>
        <v>0</v>
      </c>
    </row>
    <row r="26" customFormat="false" ht="30" hidden="false" customHeight="true" outlineLevel="0" collapsed="false">
      <c r="A26" s="6" t="s">
        <v>814</v>
      </c>
      <c r="B26" s="16" t="s">
        <v>815</v>
      </c>
      <c r="C26" s="16" t="s">
        <v>816</v>
      </c>
      <c r="D26" s="23" t="n">
        <v>614.1</v>
      </c>
      <c r="E26" s="98" t="n">
        <f aca="false">D26/'AMB-Assumptions'!$B$15</f>
        <v>2.48442430617364</v>
      </c>
    </row>
    <row r="27" customFormat="false" ht="30" hidden="false" customHeight="true" outlineLevel="0" collapsed="false">
      <c r="A27" s="6" t="s">
        <v>817</v>
      </c>
      <c r="B27" s="16" t="s">
        <v>818</v>
      </c>
      <c r="C27" s="16" t="s">
        <v>819</v>
      </c>
      <c r="D27" s="23" t="n">
        <v>-3466.33</v>
      </c>
      <c r="E27" s="98" t="n">
        <f aca="false">D27/'AMB-Assumptions'!$B$15</f>
        <v>-14.0235051379561</v>
      </c>
    </row>
    <row r="28" customFormat="false" ht="30" hidden="false" customHeight="true" outlineLevel="0" collapsed="false">
      <c r="A28" s="6" t="s">
        <v>820</v>
      </c>
      <c r="B28" s="16" t="s">
        <v>821</v>
      </c>
      <c r="C28" s="16" t="s">
        <v>822</v>
      </c>
      <c r="D28" s="23" t="n">
        <v>0</v>
      </c>
      <c r="E28" s="98" t="n">
        <f aca="false">D28/'AMB-Assumptions'!$B$15</f>
        <v>0</v>
      </c>
    </row>
    <row r="29" customFormat="false" ht="15" hidden="false" customHeight="true" outlineLevel="0" collapsed="false">
      <c r="A29" s="6" t="s">
        <v>823</v>
      </c>
      <c r="D29" s="27" t="n">
        <f aca="false">SUM(D25:D28)</f>
        <v>-2852.23</v>
      </c>
      <c r="E29" s="69" t="n">
        <f aca="false">D29/'AMB-Assumptions'!$B$15</f>
        <v>-11.5390808317825</v>
      </c>
    </row>
    <row r="31" customFormat="false" ht="135" hidden="false" customHeight="true" outlineLevel="0" collapsed="false">
      <c r="A31" s="13" t="s">
        <v>824</v>
      </c>
      <c r="B31" s="13"/>
      <c r="C31" s="13"/>
      <c r="D31" s="13"/>
      <c r="E31" s="13"/>
      <c r="F31" s="13"/>
    </row>
    <row r="36" customFormat="false" ht="15" hidden="false" customHeight="true" outlineLevel="0" collapsed="false">
      <c r="A36" s="8" t="s">
        <v>825</v>
      </c>
      <c r="B36" s="8"/>
      <c r="C36" s="8"/>
      <c r="D36" s="8"/>
      <c r="E36" s="8"/>
      <c r="F36" s="8"/>
    </row>
    <row r="37" customFormat="false" ht="26.25" hidden="false" customHeight="true" outlineLevel="0" collapsed="false">
      <c r="A37" s="4" t="s">
        <v>678</v>
      </c>
      <c r="B37" s="4" t="s">
        <v>687</v>
      </c>
      <c r="C37" s="4" t="s">
        <v>826</v>
      </c>
      <c r="D37" s="4" t="s">
        <v>827</v>
      </c>
      <c r="E37" s="4"/>
      <c r="F37" s="4"/>
    </row>
    <row r="38" customFormat="false" ht="15" hidden="false" customHeight="true" outlineLevel="0" collapsed="false">
      <c r="A38" s="6" t="s">
        <v>828</v>
      </c>
      <c r="B38" s="79" t="s">
        <v>829</v>
      </c>
      <c r="C38" s="79" t="s">
        <v>830</v>
      </c>
      <c r="D38" s="79" t="s">
        <v>831</v>
      </c>
    </row>
    <row r="39" customFormat="false" ht="15" hidden="false" customHeight="true" outlineLevel="0" collapsed="false">
      <c r="A39" s="6" t="s">
        <v>674</v>
      </c>
      <c r="B39" s="79" t="s">
        <v>832</v>
      </c>
      <c r="C39" s="79" t="s">
        <v>833</v>
      </c>
      <c r="D39" s="79" t="s">
        <v>834</v>
      </c>
    </row>
    <row r="41" customFormat="false" ht="45" hidden="false" customHeight="true" outlineLevel="0" collapsed="false">
      <c r="A41" s="13" t="s">
        <v>835</v>
      </c>
      <c r="B41" s="13"/>
      <c r="C41" s="13"/>
      <c r="D41" s="13"/>
      <c r="E41" s="13"/>
      <c r="F41" s="13"/>
    </row>
    <row r="45" customFormat="false" ht="15" hidden="false" customHeight="true" outlineLevel="0" collapsed="false">
      <c r="A45" s="8" t="s">
        <v>836</v>
      </c>
      <c r="B45" s="8"/>
      <c r="C45" s="8"/>
      <c r="D45" s="8"/>
      <c r="E45" s="8"/>
      <c r="F45" s="8"/>
    </row>
    <row r="46" customFormat="false" ht="15" hidden="false" customHeight="true" outlineLevel="0" collapsed="false">
      <c r="A46" s="89" t="s">
        <v>837</v>
      </c>
      <c r="B46" s="89"/>
      <c r="C46" s="89"/>
      <c r="D46" s="89"/>
      <c r="E46" s="89"/>
      <c r="F46" s="89"/>
    </row>
    <row r="47" customFormat="false" ht="15" hidden="false" customHeight="true" outlineLevel="0" collapsed="false">
      <c r="A47" s="89"/>
      <c r="B47" s="89"/>
      <c r="C47" s="89"/>
      <c r="D47" s="89"/>
      <c r="E47" s="89"/>
      <c r="F47" s="89"/>
    </row>
    <row r="48" customFormat="false" ht="15" hidden="false" customHeight="true" outlineLevel="0" collapsed="false">
      <c r="A48" s="89"/>
      <c r="B48" s="89"/>
      <c r="C48" s="89"/>
      <c r="D48" s="89"/>
      <c r="E48" s="89"/>
      <c r="F48" s="89"/>
    </row>
    <row r="49" customFormat="false" ht="15" hidden="false" customHeight="true" outlineLevel="0" collapsed="false">
      <c r="A49" s="89"/>
      <c r="B49" s="89"/>
      <c r="C49" s="89"/>
      <c r="D49" s="89"/>
      <c r="E49" s="89"/>
      <c r="F49" s="89"/>
    </row>
    <row r="50" customFormat="false" ht="15" hidden="false" customHeight="true" outlineLevel="0" collapsed="false">
      <c r="A50" s="89"/>
      <c r="B50" s="89"/>
      <c r="C50" s="89"/>
      <c r="D50" s="89"/>
      <c r="E50" s="89"/>
      <c r="F50" s="89"/>
    </row>
    <row r="51" customFormat="false" ht="15" hidden="false" customHeight="true" outlineLevel="0" collapsed="false">
      <c r="A51" s="89"/>
      <c r="B51" s="89"/>
      <c r="C51" s="89"/>
      <c r="D51" s="89"/>
      <c r="E51" s="89"/>
      <c r="F51" s="89"/>
    </row>
    <row r="52" customFormat="false" ht="15" hidden="false" customHeight="true" outlineLevel="0" collapsed="false">
      <c r="A52" s="89"/>
      <c r="B52" s="89"/>
      <c r="C52" s="89"/>
      <c r="D52" s="89"/>
      <c r="E52" s="89"/>
      <c r="F52" s="89"/>
    </row>
    <row r="53" customFormat="false" ht="15" hidden="false" customHeight="true" outlineLevel="0" collapsed="false">
      <c r="A53" s="89"/>
      <c r="B53" s="89"/>
      <c r="C53" s="89"/>
      <c r="D53" s="89"/>
      <c r="E53" s="89"/>
      <c r="F53" s="89"/>
    </row>
    <row r="54" customFormat="false" ht="15" hidden="false" customHeight="true" outlineLevel="0" collapsed="false">
      <c r="A54" s="89"/>
      <c r="B54" s="89"/>
      <c r="C54" s="89"/>
      <c r="D54" s="89"/>
      <c r="E54" s="89"/>
      <c r="F54" s="89"/>
    </row>
    <row r="55" customFormat="false" ht="15" hidden="false" customHeight="true" outlineLevel="0" collapsed="false">
      <c r="A55" s="89"/>
      <c r="B55" s="89"/>
      <c r="C55" s="89"/>
      <c r="D55" s="89"/>
      <c r="E55" s="89"/>
      <c r="F55" s="89"/>
    </row>
    <row r="56" customFormat="false" ht="15" hidden="false" customHeight="true" outlineLevel="0" collapsed="false">
      <c r="A56" s="89"/>
      <c r="B56" s="89"/>
      <c r="C56" s="89"/>
      <c r="D56" s="89"/>
      <c r="E56" s="89"/>
      <c r="F56" s="89"/>
    </row>
    <row r="57" customFormat="false" ht="15" hidden="false" customHeight="true" outlineLevel="0" collapsed="false">
      <c r="A57" s="89"/>
      <c r="B57" s="89"/>
      <c r="C57" s="89"/>
      <c r="D57" s="89"/>
      <c r="E57" s="89"/>
      <c r="F57" s="89"/>
    </row>
    <row r="58" customFormat="false" ht="15" hidden="false" customHeight="true" outlineLevel="0" collapsed="false">
      <c r="A58" s="89"/>
      <c r="B58" s="89"/>
      <c r="C58" s="89"/>
      <c r="D58" s="89"/>
      <c r="E58" s="89"/>
      <c r="F58" s="89"/>
    </row>
    <row r="59" customFormat="false" ht="15" hidden="false" customHeight="true" outlineLevel="0" collapsed="false">
      <c r="A59" s="89"/>
      <c r="B59" s="89"/>
      <c r="C59" s="89"/>
      <c r="D59" s="89"/>
      <c r="E59" s="89"/>
      <c r="F59" s="89"/>
    </row>
    <row r="60" customFormat="false" ht="15" hidden="false" customHeight="true" outlineLevel="0" collapsed="false">
      <c r="A60" s="89"/>
      <c r="B60" s="89"/>
      <c r="C60" s="89"/>
      <c r="D60" s="89"/>
      <c r="E60" s="89"/>
      <c r="F60" s="89"/>
    </row>
    <row r="61" customFormat="false" ht="15" hidden="false" customHeight="true" outlineLevel="0" collapsed="false">
      <c r="A61" s="89"/>
      <c r="B61" s="89"/>
      <c r="C61" s="89"/>
      <c r="D61" s="89"/>
      <c r="E61" s="89"/>
      <c r="F61" s="89"/>
    </row>
    <row r="62" customFormat="false" ht="15" hidden="false" customHeight="true" outlineLevel="0" collapsed="false">
      <c r="A62" s="89"/>
      <c r="B62" s="89"/>
      <c r="C62" s="89"/>
      <c r="D62" s="89"/>
      <c r="E62" s="89"/>
      <c r="F62" s="89"/>
    </row>
    <row r="63" customFormat="false" ht="15" hidden="false" customHeight="true" outlineLevel="0" collapsed="false">
      <c r="A63" s="89"/>
      <c r="B63" s="89"/>
      <c r="C63" s="89"/>
      <c r="D63" s="89"/>
      <c r="E63" s="89"/>
      <c r="F63" s="89"/>
    </row>
    <row r="64" customFormat="false" ht="15" hidden="false" customHeight="true" outlineLevel="0" collapsed="false">
      <c r="A64" s="89"/>
      <c r="B64" s="89"/>
      <c r="C64" s="89"/>
      <c r="D64" s="89"/>
      <c r="E64" s="89"/>
      <c r="F64" s="89"/>
    </row>
    <row r="65" customFormat="false" ht="15" hidden="false" customHeight="true" outlineLevel="0" collapsed="false">
      <c r="A65" s="89"/>
      <c r="B65" s="89"/>
      <c r="C65" s="89"/>
      <c r="D65" s="89"/>
      <c r="E65" s="89"/>
      <c r="F65" s="89"/>
    </row>
    <row r="66" customFormat="false" ht="15" hidden="false" customHeight="true" outlineLevel="0" collapsed="false">
      <c r="A66" s="89"/>
      <c r="B66" s="89"/>
      <c r="C66" s="89"/>
      <c r="D66" s="89"/>
      <c r="E66" s="89"/>
      <c r="F66" s="89"/>
    </row>
    <row r="67" customFormat="false" ht="15" hidden="false" customHeight="true" outlineLevel="0" collapsed="false">
      <c r="A67" s="89"/>
      <c r="B67" s="89"/>
      <c r="C67" s="89"/>
      <c r="D67" s="89"/>
      <c r="E67" s="89"/>
      <c r="F67" s="89"/>
    </row>
    <row r="68" customFormat="false" ht="15" hidden="false" customHeight="true" outlineLevel="0" collapsed="false">
      <c r="A68" s="89"/>
      <c r="B68" s="89"/>
      <c r="C68" s="89"/>
      <c r="D68" s="89"/>
      <c r="E68" s="89"/>
      <c r="F68" s="89"/>
    </row>
    <row r="69" customFormat="false" ht="15" hidden="false" customHeight="true" outlineLevel="0" collapsed="false">
      <c r="A69" s="89"/>
      <c r="B69" s="89"/>
      <c r="C69" s="89"/>
      <c r="D69" s="89"/>
      <c r="E69" s="89"/>
      <c r="F69" s="89"/>
    </row>
    <row r="70" customFormat="false" ht="15" hidden="false" customHeight="true" outlineLevel="0" collapsed="false">
      <c r="A70" s="89"/>
      <c r="B70" s="89"/>
      <c r="C70" s="89"/>
      <c r="D70" s="89"/>
      <c r="E70" s="89"/>
      <c r="F70" s="89"/>
    </row>
    <row r="71" customFormat="false" ht="15" hidden="false" customHeight="true" outlineLevel="0" collapsed="false">
      <c r="A71" s="89"/>
      <c r="B71" s="89"/>
      <c r="C71" s="89"/>
      <c r="D71" s="89"/>
      <c r="E71" s="89"/>
      <c r="F71" s="89"/>
    </row>
    <row r="72" customFormat="false" ht="15" hidden="false" customHeight="true" outlineLevel="0" collapsed="false">
      <c r="A72" s="89"/>
      <c r="B72" s="89"/>
      <c r="C72" s="89"/>
      <c r="D72" s="89"/>
      <c r="E72" s="89"/>
      <c r="F72" s="89"/>
    </row>
    <row r="73" customFormat="false" ht="15" hidden="false" customHeight="true" outlineLevel="0" collapsed="false">
      <c r="A73" s="89"/>
      <c r="B73" s="89"/>
      <c r="C73" s="89"/>
      <c r="D73" s="89"/>
      <c r="E73" s="89"/>
      <c r="F73" s="89"/>
    </row>
    <row r="74" customFormat="false" ht="15" hidden="false" customHeight="true" outlineLevel="0" collapsed="false">
      <c r="A74" s="89"/>
      <c r="B74" s="89"/>
      <c r="C74" s="89"/>
      <c r="D74" s="89"/>
      <c r="E74" s="89"/>
      <c r="F74" s="89"/>
    </row>
    <row r="75" customFormat="false" ht="15" hidden="false" customHeight="true" outlineLevel="0" collapsed="false">
      <c r="A75" s="89"/>
      <c r="B75" s="89"/>
      <c r="C75" s="89"/>
      <c r="D75" s="89"/>
      <c r="E75" s="89"/>
      <c r="F75" s="89"/>
    </row>
    <row r="76" customFormat="false" ht="15" hidden="false" customHeight="true" outlineLevel="0" collapsed="false">
      <c r="A76" s="89"/>
      <c r="B76" s="89"/>
      <c r="C76" s="89"/>
      <c r="D76" s="89"/>
      <c r="E76" s="89"/>
      <c r="F76" s="89"/>
    </row>
  </sheetData>
  <mergeCells count="10">
    <mergeCell ref="A4:F4"/>
    <mergeCell ref="A8:F8"/>
    <mergeCell ref="A16:F16"/>
    <mergeCell ref="A21:F21"/>
    <mergeCell ref="A23:F23"/>
    <mergeCell ref="A31:F31"/>
    <mergeCell ref="A36:F36"/>
    <mergeCell ref="A41:F41"/>
    <mergeCell ref="A45:F45"/>
    <mergeCell ref="A46:F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2026-08-29T13:38:35Z</dcterms:created>
  <dc:creator>openpyxl</dc:creator>
  <dc:description/>
  <dc:language>en-US</dc:language>
  <cp:lastModifiedBy/>
  <dcterms:modified xsi:type="dcterms:W3CDTF">2026-08-30T06:44:55Z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