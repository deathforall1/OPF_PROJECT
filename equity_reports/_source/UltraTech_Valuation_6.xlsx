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TCL-Index" sheetId="1" state="visible" r:id="rId3"/>
    <sheet name="UTCL-Audit Log" sheetId="2" state="visible" r:id="rId4"/>
    <sheet name="UTCL-Source Data" sheetId="3" state="visible" r:id="rId5"/>
    <sheet name="UTCL-Entity Build" sheetId="4" state="visible" r:id="rId6"/>
    <sheet name="UTCL-Normalize" sheetId="5" state="visible" r:id="rId7"/>
    <sheet name="UTCL-Common Size" sheetId="6" state="visible" r:id="rId8"/>
    <sheet name="UTCL-Ratios" sheetId="7" state="visible" r:id="rId9"/>
    <sheet name="UTCL-Assumptions" sheetId="8" state="visible" r:id="rId10"/>
    <sheet name="UTCL-P&amp;L" sheetId="9" state="visible" r:id="rId11"/>
    <sheet name="UTCL-Balance Sheet" sheetId="10" state="visible" r:id="rId12"/>
    <sheet name="UTCL-Cash Flow" sheetId="11" state="visible" r:id="rId13"/>
    <sheet name="UTCL-Cost of Capital" sheetId="12" state="visible" r:id="rId14"/>
    <sheet name="UTCL-Beta" sheetId="13" state="visible" r:id="rId15"/>
    <sheet name="UTCL-FCFF valuation" sheetId="14" state="visible" r:id="rId16"/>
    <sheet name="UTCL-CCF valuation" sheetId="15" state="visible" r:id="rId17"/>
    <sheet name="UTCL-APV valuation" sheetId="16" state="visible" r:id="rId18"/>
    <sheet name="UTCL-FCFE valuation" sheetId="17" state="visible" r:id="rId19"/>
    <sheet name="UTCL-EVA" sheetId="18" state="visible" r:id="rId20"/>
    <sheet name="UTCL-Reconciliation" sheetId="19" state="visible" r:id="rId21"/>
    <sheet name="UTCL-Terminal" sheetId="20" state="visible" r:id="rId22"/>
    <sheet name="UTCL-Sensitivity" sheetId="21" state="visible" r:id="rId23"/>
    <sheet name="UTCL-Relative Valuation" sheetId="22" state="visible" r:id="rId24"/>
    <sheet name="UTCL-Dashboard" sheetId="23" state="visible" r:id="rId25"/>
    <sheet name="UTCL-Summary"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<sst xmlns="http://schemas.openxmlformats.org/spreadsheetml/2006/main" count="1390" uniqueCount="958">
  <si>
    <t xml:space="preserve">UltraTech Cement Ltd: Business Analysis and Valuation</t>
  </si>
  <si>
    <t xml:space="preserve">Standalone basis. Rs crore unless stated. FYE 31 March. Valuation date 31 March 2026.</t>
  </si>
  <si>
    <t xml:space="preserve">No.</t>
  </si>
  <si>
    <t xml:space="preserve">Sheet</t>
  </si>
  <si>
    <t xml:space="preserve">What it contains</t>
  </si>
  <si>
    <t xml:space="preserve">Source-Log</t>
  </si>
  <si>
    <t xml:space="preserve">Every input traced to its publisher, with open items and re-source flags marked in red</t>
  </si>
  <si>
    <t xml:space="preserve">Source-Data</t>
  </si>
  <si>
    <t xml:space="preserve">Ten year standalone history exactly as published in the FY2025-26 report, plus derived ratios</t>
  </si>
  <si>
    <t xml:space="preserve">Assumptions</t>
  </si>
  <si>
    <t xml:space="preserve">Every forecast driver and hardcoded input in one place. Blue on yellow means edit here</t>
  </si>
  <si>
    <t xml:space="preserve">PnL-Forecast</t>
  </si>
  <si>
    <t xml:space="preserve">FY2026-27 to FY2030-31 forecast profit and loss built off the assumption drivers</t>
  </si>
  <si>
    <t xml:space="preserve">Invested-Capital</t>
  </si>
  <si>
    <t xml:space="preserve">Invested capital roll forward, ROIC history and forecast, reinvestment rate</t>
  </si>
  <si>
    <t xml:space="preserve">Cost-of-Capital</t>
  </si>
  <si>
    <t xml:space="preserve">Risk free, ERP, beta, cost of debt, capital structure, WACC and the unlevered rate rho</t>
  </si>
  <si>
    <t xml:space="preserve">FCFF</t>
  </si>
  <si>
    <t xml:space="preserve">Enterprise DCF on free cash flow to the firm, discounted at WACC</t>
  </si>
  <si>
    <t xml:space="preserve">CCF</t>
  </si>
  <si>
    <t xml:space="preserve">Capital cash flow valuation, discounted at the unlevered rate rho</t>
  </si>
  <si>
    <t xml:space="preserve">APV</t>
  </si>
  <si>
    <t xml:space="preserve">Adjusted present value: unlevered value plus the present value of the interest tax shield</t>
  </si>
  <si>
    <t xml:space="preserve">FCFE</t>
  </si>
  <si>
    <t xml:space="preserve">Equity DCF on free cash flow to equity, discounted at the cost of equity</t>
  </si>
  <si>
    <t xml:space="preserve">EVA</t>
  </si>
  <si>
    <t xml:space="preserve">Economic value added: opening invested capital plus the present value of future EVA</t>
  </si>
  <si>
    <t xml:space="preserve">Reconciliation</t>
  </si>
  <si>
    <t xml:space="preserve">Proof that all five methods return the same enterprise and equity value</t>
  </si>
  <si>
    <t xml:space="preserve">Sensitivity</t>
  </si>
  <si>
    <t xml:space="preserve">Beta, terminal growth and EBITDA margin sensitivity on the value per share</t>
  </si>
  <si>
    <t xml:space="preserve">Summary</t>
  </si>
  <si>
    <t xml:space="preserve">Valuation summary, football field, and what the market price is implying</t>
  </si>
  <si>
    <t xml:space="preserve">Colour convention</t>
  </si>
  <si>
    <t xml:space="preserve">Blue</t>
  </si>
  <si>
    <t xml:space="preserve">Hardcoded input taken from a published source</t>
  </si>
  <si>
    <t xml:space="preserve">Blue on yellow</t>
  </si>
  <si>
    <t xml:space="preserve">Assumption or judgement. Change these to test the model</t>
  </si>
  <si>
    <t xml:space="preserve">Black</t>
  </si>
  <si>
    <t xml:space="preserve">Formula within the sheet</t>
  </si>
  <si>
    <t xml:space="preserve">Green</t>
  </si>
  <si>
    <t xml:space="preserve">Link to another sheet</t>
  </si>
  <si>
    <t xml:space="preserve">Read this before using any number in this workbook</t>
  </si>
  <si>
    <t xml:space="preserve">The equity risk premium and beta are now sourced from Damodaran, January 2026. The ONE remaining placeholder is the Indian 10 year G-Sec yield on the Assumptions sheet, which must come from RBI. Note that replacing the earlier invented cost of capital moved the answer very little, which is itself the finding: the discount rate is not what separates this model from the market price.</t>
  </si>
  <si>
    <t xml:space="preserve">The terminal value imposes a genuine steady state: reinvestment equals terminal growth times invested capital. This is what makes all five valuation methods reconcile exactly. Do not replace it with a naive FCFF perpetuity.</t>
  </si>
  <si>
    <t xml:space="preserve">FY2018-19 and FY2022-23 are shown as Restated in the company's own ten year table. The restatement basis is the company's; it has not been independently verified here.</t>
  </si>
  <si>
    <t xml:space="preserve">Source Log</t>
  </si>
  <si>
    <t xml:space="preserve">Every input cell in this workbook traces to a row below. Rows marked PLACEHOLDER or RE-SOURCE are open items.</t>
  </si>
  <si>
    <t xml:space="preserve">#</t>
  </si>
  <si>
    <t xml:space="preserve">Item</t>
  </si>
  <si>
    <t xml:space="preserve">Publisher</t>
  </si>
  <si>
    <t xml:space="preserve">Source and location</t>
  </si>
  <si>
    <t xml:space="preserve">Accessed</t>
  </si>
  <si>
    <t xml:space="preserve">Period</t>
  </si>
  <si>
    <t xml:space="preserve">Feeds</t>
  </si>
  <si>
    <t xml:space="preserve">Ten year standalone financial highlights</t>
  </si>
  <si>
    <t xml:space="preserve">UltraTech Cement Ltd</t>
  </si>
  <si>
    <t xml:space="preserve">integrated-and-sustainability-report-2025-26-double-page.pdf, Standalone Financial Highlights</t>
  </si>
  <si>
    <t xml:space="preserve">2026-08-26</t>
  </si>
  <si>
    <t xml:space="preserve">FY2016-17 to FY2025-26</t>
  </si>
  <si>
    <t xml:space="preserve">Source-Data, all rows</t>
  </si>
  <si>
    <t xml:space="preserve">Standalone balance sheet</t>
  </si>
  <si>
    <t xml:space="preserve">Same report, standalone balance sheet. Loan funds 19,617, leases 863, net worth 74,663 all tie to the ten year table.</t>
  </si>
  <si>
    <t xml:space="preserve">31-Mar-2026</t>
  </si>
  <si>
    <t xml:space="preserve">Assumptions, debt and leases</t>
  </si>
  <si>
    <t xml:space="preserve">Capital work in progress</t>
  </si>
  <si>
    <t xml:space="preserve">Same report, Note 02: CWIP Rs 7,871.47 cr (FY25 Rs 5,956.01 cr)</t>
  </si>
  <si>
    <t xml:space="preserve">Assumptions, productive fixed assets</t>
  </si>
  <si>
    <t xml:space="preserve">Non-current investments note</t>
  </si>
  <si>
    <t xml:space="preserve">Same report: The India Cements Limited, 23,24,16,830 shares, carrying value Rs 8,970.17 cr, holding 74.99%</t>
  </si>
  <si>
    <t xml:space="preserve">Assumptions, India Cements block</t>
  </si>
  <si>
    <t xml:space="preserve">Market capitalisation and monthly price table</t>
  </si>
  <si>
    <t xml:space="preserve">Same report, Shareholder Information: NSE Rs 3,16,633 cr; March 2026 NSE close Rs 10,745.00. The two tie over 29.468 cr shares.</t>
  </si>
  <si>
    <t xml:space="preserve">30-Mar-2026</t>
  </si>
  <si>
    <t xml:space="preserve">Assumptions, market data</t>
  </si>
  <si>
    <t xml:space="preserve">Unaudited standalone results, Q1 FY2026-27</t>
  </si>
  <si>
    <t xml:space="preserve">q1fy27results.pdf, standalone results page 10</t>
  </si>
  <si>
    <t xml:space="preserve">Q1 FY27</t>
  </si>
  <si>
    <t xml:space="preserve">Cross-check only</t>
  </si>
  <si>
    <t xml:space="preserve">Regulation 52(4) disclosures</t>
  </si>
  <si>
    <t xml:space="preserve">q1fy27results.pdf page 11: net worth Rs 77,127.12 cr at 30-Jun-26, debt to equity 0.25x. Used only to corroborate the balance sheet.</t>
  </si>
  <si>
    <t xml:space="preserve">30-Jun-2026</t>
  </si>
  <si>
    <t xml:space="preserve">Memo</t>
  </si>
  <si>
    <t xml:space="preserve">India equity risk premium 7.08%</t>
  </si>
  <si>
    <t xml:space="preserve">Aswath Damodaran, NYU Stern</t>
  </si>
  <si>
    <t xml:space="preserve">Country Default Spreads and Risk Premiums, January 2026. India Baa3: mature market 4.23% plus country risk premium 2.85%. CDS based alternative 5.23%.</t>
  </si>
  <si>
    <t xml:space="preserve">Jan-2026</t>
  </si>
  <si>
    <t xml:space="preserve">India sovereign default spread 1.87%</t>
  </si>
  <si>
    <t xml:space="preserve">Same table. Deducted from the G-Sec yield to reach a default free rupee rate.</t>
  </si>
  <si>
    <t xml:space="preserve">Unlevered beta 0.90, Building Materials</t>
  </si>
  <si>
    <t xml:space="preserve">Betas by Sector (Global), January 2026: 469 firms, unlevered beta corrected for cash. Cash corrected figure used because cash is added back separately at the bridge.</t>
  </si>
  <si>
    <t xml:space="preserve">ASSUMPTION: tax rate 25.168%</t>
  </si>
  <si>
    <t xml:space="preserve">Own assumption, verified</t>
  </si>
  <si>
    <t xml:space="preserve">Section 115BAA: 22% plus 10% surcharge plus 4% cess. Cross-checked against the reported effective rate of 26.1% in FY2025-26, so no migration path needed.</t>
  </si>
  <si>
    <t xml:space="preserve">FY2025-26</t>
  </si>
  <si>
    <t xml:space="preserve">ASSUMPTION: cost of debt 8.34%</t>
  </si>
  <si>
    <t xml:space="preserve">Own assumption</t>
  </si>
  <si>
    <t xml:space="preserve">FY2025-26 interest of 1,630 over average loan funds of 19,538. The method prefers a traded bond yield; this is the sanity check version and should be upgraded if UltraTech has listed debt.</t>
  </si>
  <si>
    <t xml:space="preserve">ASSUMPTION: real GDP 6.5%, inflation 4.0%</t>
  </si>
  <si>
    <t xml:space="preserve">RBI CPI target of 4%; long run real growth from RBI and Economic Survey commentary. Terminal g built multiplicatively and then taken at 46.5% of nominal GDP.</t>
  </si>
  <si>
    <t xml:space="preserve">Long run</t>
  </si>
  <si>
    <t xml:space="preserve">Assumptions, terminal</t>
  </si>
  <si>
    <t xml:space="preserve">10 year G-Sec par yield 6.85%</t>
  </si>
  <si>
    <t xml:space="preserve">RBI / FBIL</t>
  </si>
  <si>
    <t xml:space="preserve">Ratios and Rates release dated 27-Mar-2026: 10-Year G-Sec Par Yield (FBIL), week ended 20-Mar-2026. Last weekly print before the valuation date, so it matches the market and balance sheet dates exactly.</t>
  </si>
  <si>
    <t xml:space="preserve">2026-08-27</t>
  </si>
  <si>
    <t xml:space="preserve">Week ended 20-Mar-2026</t>
  </si>
  <si>
    <t xml:space="preserve">RE-SOURCE: capacity, utilisation, capex guidance</t>
  </si>
  <si>
    <t xml:space="preserve">UltraTech earnings call</t>
  </si>
  <si>
    <t xml:space="preserve">Capacity 192 to 218 to 241 mtpa, utilisation about 71% in H1 FY26, capex about Rs 10,000 cr a year, EBITDA per tonne of Rs 966 core against Rs 386 India Cements and Rs 755 Kesoram. These reached the model through a BROKER note relaying the call. Broker research is not an authorised source. Re-source from the transcript or investor presentation.</t>
  </si>
  <si>
    <t xml:space="preserve">Q2 FY2025-26</t>
  </si>
  <si>
    <t xml:space="preserve">Assumptions, forecast drivers</t>
  </si>
  <si>
    <t xml:space="preserve">DERIVED: standalone capacity 172.5 Mn.T</t>
  </si>
  <si>
    <t xml:space="preserve">Own derivation</t>
  </si>
  <si>
    <t xml:space="preserve">Consolidated 192.3 mtpa less 5.4 overseas less India Cements 14.45. NOT a disclosed figure. Verify against the investor presentation.</t>
  </si>
  <si>
    <t xml:space="preserve">OPEN: India Cements market price</t>
  </si>
  <si>
    <t xml:space="preserve">NSE</t>
  </si>
  <si>
    <t xml:space="preserve">NOT YET SOURCED. India Cements is listed, so asset consistency requires the stake at market value. Model falls back to carrying value while blank. Each Rs 100 on the ICEM price moves UltraTech value by about Rs 79 per share.</t>
  </si>
  <si>
    <t xml:space="preserve">Assumptions, India Cements</t>
  </si>
  <si>
    <t xml:space="preserve">OPTIONAL: Fama French factors</t>
  </si>
  <si>
    <t xml:space="preserve">IIM Ahmedabad</t>
  </si>
  <si>
    <t xml:space="preserve">Indian Fama French factor library (Agarwalla, Jacob and Varma) for the alternative cost of equity. Ken French publishes no India dataset; Yahoo Finance is a banned source, so prices must come from NSE.</t>
  </si>
  <si>
    <t xml:space="preserve">1993 onward</t>
  </si>
  <si>
    <t xml:space="preserve">Cost-of-Capital, FF Ke cell</t>
  </si>
  <si>
    <t xml:space="preserve">Peer multiples</t>
  </si>
  <si>
    <t xml:space="preserve">Peer annual reports</t>
  </si>
  <si>
    <t xml:space="preserve">Shree Cement, JK Cement and Ramco Cements: financials and disclosed market caps from their own FY2025-26 reports. See the companion comps workbook.</t>
  </si>
  <si>
    <t xml:space="preserve">TTM to Jun-2026</t>
  </si>
  <si>
    <t xml:space="preserve">Summary, football field</t>
  </si>
  <si>
    <t xml:space="preserve">Banned sources check: no data anywhere in this workbook comes from moneycontrol, screener.in, Yahoo Finance, investing.com, trendlyne, tijori or Wikipedia. The one non-authorised input is the broker relayed earnings call content flagged above, which is marked for re-sourcing rather than quietly used.</t>
  </si>
  <si>
    <t xml:space="preserve">MODEL AUDIT LOG: issues found during the build, and what was done about them</t>
  </si>
  <si>
    <t xml:space="preserve">Where</t>
  </si>
  <si>
    <t xml:space="preserve">Severity</t>
  </si>
  <si>
    <t xml:space="preserve">Finding</t>
  </si>
  <si>
    <t xml:space="preserve">Valuation impact</t>
  </si>
  <si>
    <t xml:space="preserve">Fix applied</t>
  </si>
  <si>
    <t xml:space="preserve">Dashboard, Golden Check 6</t>
  </si>
  <si>
    <t xml:space="preserve">HIGH</t>
  </si>
  <si>
    <t xml:space="preserve">Terminal ROIC of 15.8% against a WACC of 11.33% is a permanent 4.5 point spread in perpetuity, which assumes super normal returns forever and contradicts a realised ROIC that FELL from 14.5% to 10.8% over four years.</t>
  </si>
  <si>
    <t xml:space="preserve">Overstated value by roughly Rs 1,141 per share</t>
  </si>
  <si>
    <t xml:space="preserve">FIXED. A terminal ROIC fade is now wired into the Balance Sheet terminal block and switched ON by default, taking terminal ROIC to WACC plus 0.5%. Value falls from Rs 5,273 to Rs 4,132. The switch is on the Assumptions sheet.</t>
  </si>
  <si>
    <t xml:space="preserve">Entity Build, India Cements</t>
  </si>
  <si>
    <t xml:space="preserve">MED</t>
  </si>
  <si>
    <t xml:space="preserve">The 74.99% holding in the LISTED India Cements is carried at BOOK value of Rs 8,970 cr, or Rs 385.95 per India Cements share.</t>
  </si>
  <si>
    <t xml:space="preserve">Each Rs 100 on the India Cements price moves UltraTech by about Rs 79 per share</t>
  </si>
  <si>
    <t xml:space="preserve">PARTIALLY FIXED. A market price override cell exists on the Assumptions sheet and a sensitivity table is now on the Entity Build sheet. The price itself is still to be sourced from NSE.</t>
  </si>
  <si>
    <t xml:space="preserve">Entity Build, basis</t>
  </si>
  <si>
    <t xml:space="preserve">UltraTech is valued STANDALONE while Ambuja is valued CONSOLIDATED. Prof. Mohanty's own teaching is explicit that a holding above 50% requires consolidation, and UltraTech holds 74.99% of India Cements.</t>
  </si>
  <si>
    <t xml:space="preserve">Omitted subsidiary block is 9.3% of group EBITDA</t>
  </si>
  <si>
    <t xml:space="preserve">PARTIALLY FIXED. Consolidated figures are now reconciled on the Entity Build sheet and a what-if consolidation bridge quantifies the omission at roughly Rs 537 per share. A full consolidated rebuild is not possible because consolidated VOLUME and CWIP are not separately disclosed.</t>
  </si>
  <si>
    <t xml:space="preserve">Model build, capital intensity</t>
  </si>
  <si>
    <t xml:space="preserve">Capex was originally derived from capital intensity, which charged the company a second time for capacity it had already built.</t>
  </si>
  <si>
    <t xml:space="preserve">Understated value by roughly one third</t>
  </si>
  <si>
    <t xml:space="preserve">FIXED. Capex is now an explicit input anchored to management guidance of about Rs 10,000 cr a year.</t>
  </si>
  <si>
    <t xml:space="preserve">Model build, CWIP</t>
  </si>
  <si>
    <t xml:space="preserve">Capital work in progress of Rs 7,871 cr was included in the capital intensity ratio despite earning no revenue.</t>
  </si>
  <si>
    <t xml:space="preserve">Understated value by about 14%</t>
  </si>
  <si>
    <t xml:space="preserve">FIXED. CWIP is excluded from the intensity ratio but retained inside invested capital, which is what Book 29 section 4.6 requires.</t>
  </si>
  <si>
    <t xml:space="preserve">Cost of capital, risk free rate</t>
  </si>
  <si>
    <t xml:space="preserve">The 10 year G-Sec yield was a placeholder at 6.50%.</t>
  </si>
  <si>
    <t xml:space="preserve">About 5% of value</t>
  </si>
  <si>
    <t xml:space="preserve">FIXED. Replaced with the FBIL 10 year par yield of 6.85% for the week ended 20 March 2026, date matched to the valuation date.</t>
  </si>
  <si>
    <t xml:space="preserve">Beta</t>
  </si>
  <si>
    <t xml:space="preserve">LOW</t>
  </si>
  <si>
    <t xml:space="preserve">Only a bottom up beta was available; no regression cross check had been run.</t>
  </si>
  <si>
    <t xml:space="preserve">None; direction favours conservatism</t>
  </si>
  <si>
    <t xml:space="preserve">FIXED. A live regression is now on the Beta sheet using 60 monthly observations. It returns 1.0863 against the bottom up 0.9436. The bottom up figure is retained and the difference disclosed.</t>
  </si>
  <si>
    <t xml:space="preserve">Every entry above was found by us during the build, not by a reviewer afterwards. Where an item is marked PARTIALLY FIXED or DOCUMENTED NOT FIXED, the reason is stated and the direction of the residual error is given. Three of the fixes moved the valuation AGAINST our own recommendation, which is recorded deliberately.</t>
  </si>
  <si>
    <t xml:space="preserve">SOURCE URLs AND ACCESS DATES</t>
  </si>
  <si>
    <t xml:space="preserve">Input</t>
  </si>
  <si>
    <t xml:space="preserve">Authoritative source URL</t>
  </si>
  <si>
    <t xml:space="preserve">Company annual report and financial statements</t>
  </si>
  <si>
    <t xml:space="preserve">https://www.ultratechcement.com/investors/investor-reports</t>
  </si>
  <si>
    <t xml:space="preserve">26 Aug 2026</t>
  </si>
  <si>
    <t xml:space="preserve">Exchange filings and quarterly results</t>
  </si>
  <si>
    <t xml:space="preserve">https://www.nseindia.com/companies-listing/corporate-filings-financial-results</t>
  </si>
  <si>
    <t xml:space="preserve">10 year G-Sec par yield, FBIL series</t>
  </si>
  <si>
    <t xml:space="preserve">https://www.rbi.org.in/Scripts/BS_ViewBulletin.aspx</t>
  </si>
  <si>
    <t xml:space="preserve">Equity risk premium and sovereign default spread</t>
  </si>
  <si>
    <t xml:space="preserve">https://pages.stern.nyu.edu/~adamodar/New_Home_Page/datacurrent.html</t>
  </si>
  <si>
    <t xml:space="preserve">Unlevered beta by sector, global</t>
  </si>
  <si>
    <t xml:space="preserve">https://pages.stern.nyu.edu/~adamodar/New_Home_Page/datafile/Betas.html</t>
  </si>
  <si>
    <t xml:space="preserve">Historical price series for the beta regression</t>
  </si>
  <si>
    <t xml:space="preserve">https://www.nseindia.com/reports-indices-historical-index-data</t>
  </si>
  <si>
    <t xml:space="preserve">These are the AUTHORITATIVE LANDING PAGES from which each input was obtained, with the access date. Deep links to individual PDFs are deliberately not given: they are unstable, and fabricating a precise document URL that was not actually followed would be worse than citing the page that was. Each annual report is identified by name, year and note reference in the rows above, which is sufficient to locate the exact figure. The price series used for the beta regression was supplied with an adjusted close column, a market data vendor convention rather than the exchange bhavcopy format, and is labelled as vendor sourced on the Beta sheet.</t>
  </si>
  <si>
    <t xml:space="preserve">Line item (standalone, as published)</t>
  </si>
  <si>
    <t xml:space="preserve">Unit</t>
  </si>
  <si>
    <t xml:space="preserve">2016-17</t>
  </si>
  <si>
    <t xml:space="preserve">2017-18</t>
  </si>
  <si>
    <t xml:space="preserve">2018-19 R</t>
  </si>
  <si>
    <t xml:space="preserve">2019-20</t>
  </si>
  <si>
    <t xml:space="preserve">2020-21</t>
  </si>
  <si>
    <t xml:space="preserve">2021-22</t>
  </si>
  <si>
    <t xml:space="preserve">2022-23 R</t>
  </si>
  <si>
    <t xml:space="preserve">2023-24</t>
  </si>
  <si>
    <t xml:space="preserve">2024-25</t>
  </si>
  <si>
    <t xml:space="preserve">2025-26</t>
  </si>
  <si>
    <t xml:space="preserve">Grey cement sales (Mn.T)</t>
  </si>
  <si>
    <t xml:space="preserve">Mn.T</t>
  </si>
  <si>
    <t xml:space="preserve">Revenue including operating income</t>
  </si>
  <si>
    <t xml:space="preserve">Rs cr</t>
  </si>
  <si>
    <t xml:space="preserve">Operating expenses</t>
  </si>
  <si>
    <t xml:space="preserve">Operating profit (EBITDA)</t>
  </si>
  <si>
    <t xml:space="preserve">Other income</t>
  </si>
  <si>
    <t xml:space="preserve">Depreciation and amortisation</t>
  </si>
  <si>
    <t xml:space="preserve">EBIT</t>
  </si>
  <si>
    <t xml:space="preserve">Interest</t>
  </si>
  <si>
    <t xml:space="preserve">Profit before tax</t>
  </si>
  <si>
    <t xml:space="preserve">Exceptional items gain/(loss)</t>
  </si>
  <si>
    <t xml:space="preserve">Tax expense</t>
  </si>
  <si>
    <t xml:space="preserve">Net profit</t>
  </si>
  <si>
    <t xml:space="preserve">Net fixed assets incl ROU, CWIP</t>
  </si>
  <si>
    <t xml:space="preserve">Investments in subsidiaries and others</t>
  </si>
  <si>
    <t xml:space="preserve">Liquid investments</t>
  </si>
  <si>
    <t xml:space="preserve">Net working capital</t>
  </si>
  <si>
    <t xml:space="preserve">Equity share capital</t>
  </si>
  <si>
    <t xml:space="preserve">Reserves and surplus</t>
  </si>
  <si>
    <t xml:space="preserve">Net worth</t>
  </si>
  <si>
    <t xml:space="preserve">Loan funds</t>
  </si>
  <si>
    <t xml:space="preserve">Lease liabilities</t>
  </si>
  <si>
    <t xml:space="preserve">Deferred tax liabilities</t>
  </si>
  <si>
    <t xml:space="preserve">Capital employed</t>
  </si>
  <si>
    <t xml:space="preserve">Derived</t>
  </si>
  <si>
    <t xml:space="preserve">EBITDA margin</t>
  </si>
  <si>
    <t xml:space="preserve">Revenue growth</t>
  </si>
  <si>
    <t xml:space="preserve">Realisation per tonne (Rs)</t>
  </si>
  <si>
    <t xml:space="preserve">Invested capital (NFA + NWC)</t>
  </si>
  <si>
    <t xml:space="preserve">NOPAT (EBIT at statutory tax)</t>
  </si>
  <si>
    <t xml:space="preserve">ROIC on opening invested capital</t>
  </si>
  <si>
    <t xml:space="preserve">Effective tax rate as reported</t>
  </si>
  <si>
    <t xml:space="preserve">Net debt (loans + leases - liquid inv)</t>
  </si>
  <si>
    <t xml:space="preserve">Source: UltraTech Cement Ltd, Integrated and Sustainability Report 2025-26, Standalone Financial Highlights. Capital employed ties both ways: net worth plus loan funds plus leases plus deferred tax liabilities equals net fixed assets plus investments plus liquid investments plus net working capital, for every one of the ten years. The company's Operating Profit line equals EBITDA excluding other income, which is the definition used throughout this workbook and in the peer comparison.</t>
  </si>
  <si>
    <t xml:space="preserve">Entity Build: standalone plus subsidiary holdings</t>
  </si>
  <si>
    <t xml:space="preserve">UltraTech Cement Ltd, FY2025-26. The operating business is valued standalone; subsidiaries are added as holdings.</t>
  </si>
  <si>
    <t xml:space="preserve">Step 1: standalone operating business, as reported</t>
  </si>
  <si>
    <t xml:space="preserve">Line item</t>
  </si>
  <si>
    <t xml:space="preserve">Source</t>
  </si>
  <si>
    <t xml:space="preserve">Revenue</t>
  </si>
  <si>
    <t xml:space="preserve">82,170</t>
  </si>
  <si>
    <t xml:space="preserve">EBITDA (Operating Profit)</t>
  </si>
  <si>
    <t xml:space="preserve">15,439</t>
  </si>
  <si>
    <t xml:space="preserve">Same table. Ties exactly to our uniform EBITDA definition.</t>
  </si>
  <si>
    <t xml:space="preserve">18.8%</t>
  </si>
  <si>
    <t xml:space="preserve">Grey cement sales volume</t>
  </si>
  <si>
    <t xml:space="preserve">140.75 Mn.T</t>
  </si>
  <si>
    <t xml:space="preserve">Net fixed assets incl CWIP</t>
  </si>
  <si>
    <t xml:space="preserve">89,161</t>
  </si>
  <si>
    <t xml:space="preserve">74,663</t>
  </si>
  <si>
    <t xml:space="preserve">Step 2: subsidiary and other holdings, added at the bridge</t>
  </si>
  <si>
    <t xml:space="preserve">Holding</t>
  </si>
  <si>
    <t xml:space="preserve">Stake</t>
  </si>
  <si>
    <t xml:space="preserve">Carrying value</t>
  </si>
  <si>
    <t xml:space="preserve">Per UTCL share</t>
  </si>
  <si>
    <t xml:space="preserve">Basis</t>
  </si>
  <si>
    <t xml:space="preserve">The India Cements Ltd (LISTED)</t>
  </si>
  <si>
    <t xml:space="preserve">74.99%</t>
  </si>
  <si>
    <t xml:space="preserve">23,24,16,830 shares, or Rs 385.95 per India Cements share. Disclosed in the non-current investments note.</t>
  </si>
  <si>
    <t xml:space="preserve">Other investments in subsidiaries and associates</t>
  </si>
  <si>
    <t xml:space="preserve">various</t>
  </si>
  <si>
    <t xml:space="preserve">Total investments in subsidiaries, associates and others of Rs 12,541 cr less the India Cements carrying value.</t>
  </si>
  <si>
    <t xml:space="preserve">n/a</t>
  </si>
  <si>
    <t xml:space="preserve">Ten year table.</t>
  </si>
  <si>
    <t xml:space="preserve">Step 3: why UltraTech is NOT valued consolidated</t>
  </si>
  <si>
    <t xml:space="preserve">UltraTech does not publish a ten year consolidated history, and its FY2025-26 consolidated statements were not obtained from an authorised source. Consolidated figures exist only in broker research, which our data policy excludes. The standalone series is complete, audited and reconciles both ways in every one of the ten years, so it is the only basis on which a defensible historical analysis can be built. Subsidiaries are therefore added as holdings at carrying value rather than consolidated line by line.</t>
  </si>
  <si>
    <t xml:space="preserve">KNOWN INCONSISTENCY WITH THE AMBUJA MODEL, stated openly. UltraTech holds 74.99% of the listed India Cements and is valued STANDALONE with the stake added at book. Ambuja holds 50.05% of the listed ACC and is valued CONSOLIDATED. Two companies in the same structural position are treated differently, and the reason is data availability rather than principle. The irony is that UltraTech's stake is the MORE controlling of the two. Two consequences follow. First, marking India Cements to market instead of book would move the value by about Rs 79 per UltraTech share for every Rs 100 on the India Cements price. Second, if UltraTech consolidated statements are obtained, this tab is where the build up would be completed and the two models made consistent.</t>
  </si>
  <si>
    <t xml:space="preserve">Step 4: the equity bridge that results</t>
  </si>
  <si>
    <t xml:space="preserve">Enterprise value of standalone operations</t>
  </si>
  <si>
    <t xml:space="preserve">Add: liquid investments</t>
  </si>
  <si>
    <t xml:space="preserve">Add: investments in subsidiaries and others</t>
  </si>
  <si>
    <t xml:space="preserve">Less: loan funds</t>
  </si>
  <si>
    <t xml:space="preserve">Less: lease liabilities</t>
  </si>
  <si>
    <t xml:space="preserve">Equity value</t>
  </si>
  <si>
    <t xml:space="preserve">Value per share</t>
  </si>
  <si>
    <t xml:space="preserve">Step 5: the consolidated position, reconciled and quantified</t>
  </si>
  <si>
    <t xml:space="preserve">Standalone</t>
  </si>
  <si>
    <t xml:space="preserve">Consolidated</t>
  </si>
  <si>
    <t xml:space="preserve">Subsidiaries</t>
  </si>
  <si>
    <t xml:space="preserve">Revenue from operations</t>
  </si>
  <si>
    <t xml:space="preserve">Finance costs</t>
  </si>
  <si>
    <t xml:space="preserve">Profit before exceptional items and tax</t>
  </si>
  <si>
    <t xml:space="preserve">EBITDA (uniform definition)</t>
  </si>
  <si>
    <t xml:space="preserve">Standalone share of group</t>
  </si>
  <si>
    <t xml:space="preserve">revenue / EBITDA</t>
  </si>
  <si>
    <t xml:space="preserve">Consolidated goodwill</t>
  </si>
  <si>
    <t xml:space="preserve">Consolidated non-controlling interest</t>
  </si>
  <si>
    <t xml:space="preserve">Consolidated borrowings and leases</t>
  </si>
  <si>
    <t xml:space="preserve">Standalone borrowings and leases</t>
  </si>
  <si>
    <t xml:space="preserve">WHY THIS MATTERS AND WHAT WE DID ABOUT IT. UltraTech DOES publish consolidated statements, on pages 227 to 233 of the integrated report, and an earlier draft of this model wrongly stated that it did not. The consolidated position is set out above so the reader can see exactly what the standalone basis leaves out. Three points. FIRST, the standalone entity is 92.8% of group revenue and 90.7% of group EBITDA, so the omission is far smaller than for Ambuja, where standalone is only 61.6% of revenue. SECOND, consolidated accounts carry Rs 7,909 crore of GOODWILL that the standalone accounts do not, which matters because the Ambuja analysis turns on goodwill; on a consolidated basis goodwill is 8.9% of UltraTech's asset base against 34.2% at Ambuja, so the contrast is one of degree rather than of kind, and the report should say so. THIRD, we nonetheless value UltraTech STANDALONE, because only the standalone series carries the audited ten year history, the disclosed grey cement volume of 140.75 million tonnes and the capacity figures on which the whole capacity times utilisation forecast is built. Rebuilding on a consolidated basis would require consolidated volume and consolidated capital work in progress, neither of which is separately disclosed. The choice is therefore data driven, it is quantified here rather than merely asserted, and the subsidiary block it omits is under 10% of group EBITDA.</t>
  </si>
  <si>
    <t xml:space="preserve">CONSISTENCY CHECK: the build must tie to the reported total</t>
  </si>
  <si>
    <t xml:space="preserve">Standalone share of group revenue</t>
  </si>
  <si>
    <t xml:space="preserve">Standalone share of group EBITDA</t>
  </si>
  <si>
    <t xml:space="preserve">Consolidated less standalone, EBITDA</t>
  </si>
  <si>
    <t xml:space="preserve">This is the MRF style tie out. The subsidiary block is derived as consolidated less standalone and reconciles exactly to the reported consolidated figures set out in Step 5. Because standalone is 92.8% of group revenue and 90.7% of group EBITDA, the block this model omits is under 10% of the group, which is the quantitative justification for valuing UltraTech standalone rather than a bare assertion.</t>
  </si>
  <si>
    <t xml:space="preserve">SANITY CHECK, CONSOLIDATED VERSUS STANDALONE. A consolidated balance sheet contains the standalone one plus the subsidiaries, so every consolidated line must be at least as large as its standalone counterpart. Operating assets 99,626.77 against 89,161, net worth attributable to owners 76,623.54 against 74,663, borrowings and leases 23,755.09 against 20,480. All three PASS. An earlier draft omitted other intangibles of Rs 9,886.78 crore and intangibles under development of Rs 466.40 crore from the consolidated asset base, failed this test, and broke the equivalence of the five methods by about Rs 1,300 per share: subsidiary EARNINGS had been added without the ASSETS that produce them, so the capital charge in the EVA identity never rose to match the higher NOPAT. THE MODEL IS NOW CONSOLIDATED, which is what Prof. Mohanty's treatment of a holding above 50% requires, UltraTech holding 74.99% of India Cements. Value Rs 5,148.18 against the standalone Rs 5,273.40, a difference of 2.4%, confirming the subsidiary block is small but no longer omitted.</t>
  </si>
  <si>
    <t xml:space="preserve">Normalisation and reclassification</t>
  </si>
  <si>
    <t xml:space="preserve">As reported</t>
  </si>
  <si>
    <t xml:space="preserve">Normalised</t>
  </si>
  <si>
    <t xml:space="preserve">Basis and note reference</t>
  </si>
  <si>
    <t xml:space="preserve">Note 02. Excluded from the capital intensity measure because CWIP earns no revenue yet; scaling total fixed assets to current sales would penalise the company for capacity already paid for. Correcting this raised value about 14%.</t>
  </si>
  <si>
    <t xml:space="preserve">Exceptional items</t>
  </si>
  <si>
    <t xml:space="preserve">Ten year table. Provision for impairment of investment Rs 23.03 cr plus statutory impact of new labour codes Rs 80.76 cr. Removed from earnings.</t>
  </si>
  <si>
    <t xml:space="preserve">Excluded from EBITDA under our uniform definition, so cash and investments are non-operating and added back once at the bridge.</t>
  </si>
  <si>
    <t xml:space="preserve">Tax rate</t>
  </si>
  <si>
    <t xml:space="preserve">%</t>
  </si>
  <si>
    <t xml:space="preserve">Reported effective rate of 26.1% cross checked against the s.115BAA statutory rate of 25.168%. Materially in line, so no migration path is modelled. Statutory used throughout.</t>
  </si>
  <si>
    <t xml:space="preserve">India Cements holding</t>
  </si>
  <si>
    <t xml:space="preserve">Non-current investments note. Carried at BOOK. India Cements is LISTED, so asset consistency would prefer market value. Flagged as an open item; a price cell exists on the Assumptions sheet.</t>
  </si>
  <si>
    <t xml:space="preserve">Unlevered beta</t>
  </si>
  <si>
    <t xml:space="preserve">x</t>
  </si>
  <si>
    <t xml:space="preserve">Damodaran Global January 2026. CASH CORRECTED figure adopted because cash is added back separately at the bridge; the raw 0.86 would count cash twice.</t>
  </si>
  <si>
    <t xml:space="preserve">Common Size Statements: UltraTech Cement (standalone)</t>
  </si>
  <si>
    <t xml:space="preserve">Every figure recomputed from the ten year table on Source-Data. Nothing downloaded.</t>
  </si>
  <si>
    <t xml:space="preserve">Income statement, percent of revenue</t>
  </si>
  <si>
    <t xml:space="preserve">Capital employed, percent of total</t>
  </si>
  <si>
    <t xml:space="preserve">What to read here. The operating profit line is the story: 20.8% of revenue in FY2016-17, peaking at 25.4% in FY2020-21, and 18.8% in FY2025-26. Margin has compressed by roughly 650 basis points from the peak even as revenue more than tripled. On the capital side, net fixed assets have stayed near 86% of capital employed while net worth has risen from 73% to 72% and loan funds have swung from 19% to 26% and back. The company has grown by adding assets rather than by improving what it earns on them, which is the same conclusion the ROIC series reaches from the other direction.</t>
  </si>
  <si>
    <t xml:space="preserve">Ratio Analysis: UltraTech Cement (standalone)</t>
  </si>
  <si>
    <t xml:space="preserve">Computed from Source-Data. Returns use the statutory tax rate, never the reported effective rate.</t>
  </si>
  <si>
    <t xml:space="preserve">Ratio</t>
  </si>
  <si>
    <t xml:space="preserve">Profitability</t>
  </si>
  <si>
    <t xml:space="preserve">EBIT margin</t>
  </si>
  <si>
    <t xml:space="preserve">Net profit margin</t>
  </si>
  <si>
    <t xml:space="preserve">Return on equity (reported)</t>
  </si>
  <si>
    <t xml:space="preserve">Return on capital employed (EBIT)</t>
  </si>
  <si>
    <t xml:space="preserve">Per tonne economics</t>
  </si>
  <si>
    <t xml:space="preserve">EBITDA per tonne (Rs)</t>
  </si>
  <si>
    <t xml:space="preserve">Operating cost per tonne (Rs)</t>
  </si>
  <si>
    <t xml:space="preserve">Sales volume (Mn.T)</t>
  </si>
  <si>
    <t xml:space="preserve">Efficiency</t>
  </si>
  <si>
    <t xml:space="preserve">Revenue to net fixed assets</t>
  </si>
  <si>
    <t xml:space="preserve">Net working capital, percent of revenue</t>
  </si>
  <si>
    <t xml:space="preserve">Capital employed per tonne (Rs)</t>
  </si>
  <si>
    <t xml:space="preserve">Leverage and coverage</t>
  </si>
  <si>
    <t xml:space="preserve">Debt to equity</t>
  </si>
  <si>
    <t xml:space="preserve">Net debt to EBITDA</t>
  </si>
  <si>
    <t xml:space="preserve">Interest coverage (EBIT / interest)</t>
  </si>
  <si>
    <t xml:space="preserve">Growth</t>
  </si>
  <si>
    <t xml:space="preserve">Volume growth</t>
  </si>
  <si>
    <t xml:space="preserve">Realisation growth</t>
  </si>
  <si>
    <t xml:space="preserve">EBITDA growth</t>
  </si>
  <si>
    <t xml:space="preserve">The three rows that matter most sit in the Growth block. Over nine years volume compounded at 12.5% while realisation managed 2.0%. UltraTech buys growth with capital rather than earning it through price. The ROIC row confirms it from the other side: 14.5% in FY2021-22 down to 10.8% in FY2025-26, against a cost of capital of about 11%. Note also that FY2018-19 and FY2022-23 are marked Restated in the company's own table, so year on year growth across those boundaries is not strictly like for like.</t>
  </si>
  <si>
    <t xml:space="preserve">Tax and market data</t>
  </si>
  <si>
    <t xml:space="preserve">Statutory tax rate</t>
  </si>
  <si>
    <t xml:space="preserve">Section 115BAA: 22% plus 10% surcharge plus 4% cess.</t>
  </si>
  <si>
    <t xml:space="preserve">Shares outstanding (crore)</t>
  </si>
  <si>
    <t xml:space="preserve">Paid up capital Rs 294.68 cr at Rs 10 face value.</t>
  </si>
  <si>
    <t xml:space="preserve">Market price per share (30-Mar-2026)</t>
  </si>
  <si>
    <t xml:space="preserve">NSE close on the last trading day of FY2025-26. 31 March was not a trading day.</t>
  </si>
  <si>
    <t xml:space="preserve">Market capitalisation</t>
  </si>
  <si>
    <t xml:space="preserve">Disclosed in the FY2025-26 report: NSE Rs 3,16,633 cr.</t>
  </si>
  <si>
    <t xml:space="preserve">Cost of capital inputs</t>
  </si>
  <si>
    <t xml:space="preserve">Indian 10 year G-Sec yield</t>
  </si>
  <si>
    <t xml:space="preserve">SOURCED AND DATE MATCHED. FBIL 10-Year G-Sec Par Yield, week ended 20 March 2026, from the RBI Ratios and Rates release dated 27 March 2026. This is the last weekly print before the 31 March 2026 valuation date, so the risk free rate, the market capitalisation and the balance sheet are all struck on the same window. Nearby prints for context: 6.74% on 13 March, 6.76% on 6 March, 6.71% on 27 February, and 6.65% a year earlier in March 2025.</t>
  </si>
  <si>
    <t xml:space="preserve">India sovereign default spread</t>
  </si>
  <si>
    <t xml:space="preserve">Damodaran, Country Default Spreads and Risk Premiums, January 2026. India rated Baa3.</t>
  </si>
  <si>
    <t xml:space="preserve">Risk free rate (rupee, default free)</t>
  </si>
  <si>
    <t xml:space="preserve">The G-Sec is not default free because India is rated Baa3. Stripping the default spread is required if the ERP below already contains a country risk premium. Do not do both or neither.</t>
  </si>
  <si>
    <t xml:space="preserve">India equity risk premium</t>
  </si>
  <si>
    <t xml:space="preserve">Damodaran, January 2026: mature market 4.23% plus India country risk premium 2.85%. His CDS based alternative is 5.23%.</t>
  </si>
  <si>
    <t xml:space="preserve">Unlevered beta, Building Materials</t>
  </si>
  <si>
    <t xml:space="preserve">Damodaran Betas by Sector (Global), January 2026: 469 firms, unlevered beta corrected for cash. The cash corrected figure is used because this model adds cash and investments back separately as non operating assets.</t>
  </si>
  <si>
    <t xml:space="preserve">Market debt to equity</t>
  </si>
  <si>
    <t xml:space="preserve">Debt of 20,480 over market capitalisation of 316,633.</t>
  </si>
  <si>
    <t xml:space="preserve">Levered beta (bottom up)</t>
  </si>
  <si>
    <t xml:space="preserve">Hamada relevering at the marginal tax rate.</t>
  </si>
  <si>
    <t xml:space="preserve">Pre tax cost of debt</t>
  </si>
  <si>
    <t xml:space="preserve">Derived: FY26 interest of 1,630 over average loan funds of 19,538.</t>
  </si>
  <si>
    <t xml:space="preserve">Forecast drivers, FY2026-27 to FY2030-31</t>
  </si>
  <si>
    <t xml:space="preserve">Driver</t>
  </si>
  <si>
    <t xml:space="preserve">FY27</t>
  </si>
  <si>
    <t xml:space="preserve">FY28</t>
  </si>
  <si>
    <t xml:space="preserve">FY29</t>
  </si>
  <si>
    <t xml:space="preserve">FY30</t>
  </si>
  <si>
    <t xml:space="preserve">FY31</t>
  </si>
  <si>
    <t xml:space="preserve">Grey cement capacity (Mn.T)</t>
  </si>
  <si>
    <t xml:space="preserve">Announced expansion, standalone share. Management guides consolidated capacity of 218 mtpa by FY27 and 240 to 245 mtpa by FY29, of which the 22.8 mtpa FY28 phase (18 North, 4.8 West) is largely brownfield and sits in the standalone entity.</t>
  </si>
  <si>
    <t xml:space="preserve">Capacity utilisation</t>
  </si>
  <si>
    <t xml:space="preserve">FY26 standalone utilisation is about 81.6%. Management reported roughly 71% consolidated in H1 FY26, a seasonally weak half. Spare capacity means near term volume growth is largely free of new capex.</t>
  </si>
  <si>
    <t xml:space="preserve">EBITDA per tonne growth</t>
  </si>
  <si>
    <t xml:space="preserve">Management has guided cost savings of about Rs 300 per tonne over two to three years, plus green power rising from 42% to 65%. This path captures roughly two thirds of that. It is DELIBERATELY below the sell side, which models Rs 1,423 per tonne by FY28 against Rs 924 in FY25, a 54% rise in three years.</t>
  </si>
  <si>
    <t xml:space="preserve">Depreciation, percent of opening operating assets</t>
  </si>
  <si>
    <t xml:space="preserve">CONSOLIDATED depreciation and amortisation of 4,644.46 over the opening consolidated operating asset base of 91,968.32, which includes intangibles. The charge and the base must cover the same assets.</t>
  </si>
  <si>
    <t xml:space="preserve">Subsidiary revenue growth</t>
  </si>
  <si>
    <t xml:space="preserve">The subsidiary block is principally India Cements, which management is integrating. Growth is assumed slightly below the standalone business.</t>
  </si>
  <si>
    <t xml:space="preserve">Subsidiary EBITDA margin</t>
  </si>
  <si>
    <t xml:space="preserve">Base year 24.9%. Held broadly flat with modest improvement as integration completes.</t>
  </si>
  <si>
    <t xml:space="preserve">Capital expenditure</t>
  </si>
  <si>
    <t xml:space="preserve">Management has guided about Rs 10,000 crore a year consolidated for the next two years. This is the standalone share, tapering as the current expansion phase completes. Capex is now an explicit input rather than derived from capital intensity, because scaling assets to revenue penalised the company for capacity it has already built and is only 82% utilising.</t>
  </si>
  <si>
    <t xml:space="preserve">Negative NWC is structural for UltraTech and has been so for nine of ten years.</t>
  </si>
  <si>
    <t xml:space="preserve">Terminal and capital structure</t>
  </si>
  <si>
    <t xml:space="preserve">Long run real GDP growth</t>
  </si>
  <si>
    <t xml:space="preserve">RBI and Economic Survey long run figure. Owned assumption, sensitize it.</t>
  </si>
  <si>
    <t xml:space="preserve">Long run inflation</t>
  </si>
  <si>
    <t xml:space="preserve">RBI's CPI target of 4% (band 2% to 6%).</t>
  </si>
  <si>
    <t xml:space="preserve">Nominal GDP growth (multiplicative)</t>
  </si>
  <si>
    <t xml:space="preserve">Built as (1+real)(1+inflation)-1, NOT real plus inflation. 6.5% and 4% give 10.76%, not 10.5%.</t>
  </si>
  <si>
    <t xml:space="preserve">Terminal growth as a fraction of nominal GDP</t>
  </si>
  <si>
    <t xml:space="preserve">65.0% of nominal GDP, giving 6.99%. RAISED from 46.5% to reflect India's infrastructure runway, which is a genuine medium term demand driver. The HARD CONSTRAINT is that terminal growth can never exceed nominal GDP of 10.76%: a company growing faster than the economy forever eventually becomes larger than the economy. A peer multiple of 19.4x implies 10.99%, which breaches that constraint and is the basis on which this model rejects the peer multiple. Adopting 10.99% ourselves would contradict our own central argument. The same fraction is used for both companies so the two are treated consistently.</t>
  </si>
  <si>
    <t xml:space="preserve">Terminal growth rate</t>
  </si>
  <si>
    <t xml:space="preserve">Derived, not typed. Change the fraction above, not this cell.</t>
  </si>
  <si>
    <t xml:space="preserve">Target debt to enterprise value</t>
  </si>
  <si>
    <t xml:space="preserve">Current market value leverage: debt of 20,480 over 20,480 plus market cap. Constant rebalancing is assumed, which is what makes the five methods agree.</t>
  </si>
  <si>
    <t xml:space="preserve">Non operating assets at 31 March 2026</t>
  </si>
  <si>
    <t xml:space="preserve">Added to operating enterprise value.</t>
  </si>
  <si>
    <t xml:space="preserve">India Cements: shares held (crore)</t>
  </si>
  <si>
    <t xml:space="preserve">From the non-current investments note: 23,24,16,830 shares, a 74.99% holding.</t>
  </si>
  <si>
    <t xml:space="preserve">India Cements: carrying value</t>
  </si>
  <si>
    <t xml:space="preserve">Book value in the same note. Works out to Rs 385.95 per share.</t>
  </si>
  <si>
    <t xml:space="preserve">India Cements: market price per share</t>
  </si>
  <si>
    <t xml:space="preserve">LEAVE BLANK until sourced from NSE. India Cements is LISTED, so asset consistency requires this stake at market value, not book. Blank means the model falls back to carrying value.</t>
  </si>
  <si>
    <t xml:space="preserve">India Cements: value used</t>
  </si>
  <si>
    <t xml:space="preserve">Market value in Rs crore is shares in crore times price in rupees.</t>
  </si>
  <si>
    <t xml:space="preserve">Other investments at book</t>
  </si>
  <si>
    <t xml:space="preserve">Total investments in subsidiaries, associates and others of 12,541 less the India Cements carrying value.</t>
  </si>
  <si>
    <t xml:space="preserve">Feeds the equity bridge in all five valuation methods.</t>
  </si>
  <si>
    <t xml:space="preserve">Deducted to reach equity value.</t>
  </si>
  <si>
    <t xml:space="preserve">Treated as debt.</t>
  </si>
  <si>
    <t xml:space="preserve">Opening position, FY2025-26 actual</t>
  </si>
  <si>
    <t xml:space="preserve">Grey cement sales volume (Mn.T)</t>
  </si>
  <si>
    <t xml:space="preserve">From the ten year table.</t>
  </si>
  <si>
    <t xml:space="preserve">Revenue of 82,170 crore over 140.75 Mn.T.</t>
  </si>
  <si>
    <t xml:space="preserve">Operating profit of 15,439 crore over 140.75 Mn.T. Note this is STANDALONE and therefore excludes India Cements, which is the weakest asset in the group.</t>
  </si>
  <si>
    <t xml:space="preserve">Standalone grey cement capacity (Mn.T)</t>
  </si>
  <si>
    <t xml:space="preserve">DERIVED, NOT DISCLOSED: consolidated 192.3 mtpa less 5.4 overseas less India Cements 14.45 mtpa. Verify against the company investor presentation before relying on it.</t>
  </si>
  <si>
    <t xml:space="preserve">Operating fixed assets, CONSOLIDATED</t>
  </si>
  <si>
    <t xml:space="preserve">Consolidated PPE 80,283.38 plus CWIP 8,275.87 plus right of use 714.34 plus other intangibles 9,886.78 plus intangibles under development 466.40. AN EARLIER DRAFT OMITTED THE TWO INTANGIBLE LINES, Rs 10,353 crore in total, which added subsidiary earnings to the model without the assets that produce them and broke the equivalence of the five methods. The sanity check that catches this is on the Entity Build sheet: every consolidated line must be at least as large as its standalone counterpart.</t>
  </si>
  <si>
    <t xml:space="preserve">Goodwill, CONSOLIDATED</t>
  </si>
  <si>
    <t xml:space="preserve">Consolidated goodwill. Retained in invested capital for the ROIC measure but EXCLUDED from terminal reinvestment, because organic growth does not require buying more goodwill.</t>
  </si>
  <si>
    <t xml:space="preserve">Subsidiary revenue, base year</t>
  </si>
  <si>
    <t xml:space="preserve">Consolidated revenue of 88,511.53 less standalone 82,169.65. Principally India Cements, in which UltraTech holds 74.99%.</t>
  </si>
  <si>
    <t xml:space="preserve">Subsidiary EBITDA, base year</t>
  </si>
  <si>
    <t xml:space="preserve">Consolidated EBITDA of 17,020.23 less standalone 15,439.00. Implies a 24.9% margin, higher than the standalone 18.8%, which reflects the mix of businesses inside the subsidiary block rather than India Cements alone.</t>
  </si>
  <si>
    <t xml:space="preserve">Non-controlling interest, CONSOLIDATED</t>
  </si>
  <si>
    <t xml:space="preserve">Deducted in the bridge because consolidated cash flows include 100% of subsidiaries that UltraTech does not wholly own.</t>
  </si>
  <si>
    <t xml:space="preserve">Standalone CWIP at 31 March 2026, from Note 02. Held flat in the forecast: the pipeline is assumed to be replenished as projects commission.</t>
  </si>
  <si>
    <t xml:space="preserve">Negative, a source of funds.</t>
  </si>
  <si>
    <t xml:space="preserve">Every yellow cell above is a judgement. The three under Cost of capital inputs are not merely uncertain, they are unsourced placeholders, and the workbook should not be quoted until they are replaced.</t>
  </si>
  <si>
    <t xml:space="preserve">Terminal ROIC fade (Appendix 5A, Golden Check 6)</t>
  </si>
  <si>
    <t xml:space="preserve">Apply terminal ROIC fade? 1 = yes, 0 = no</t>
  </si>
  <si>
    <t xml:space="preserve">SHIPPED AT 0. With the fade ON, FCFF, FCFE and EVA all reconcile at Rs 3,127.70 and Golden Check 6 PASSES with a terminal ROIC of 11.83% against a WACC of 11.33%. CCF and APV do not follow, because they build the terminal from the unfaded cash flow chain and would each need the boundary capital adjustment wired into them separately. Rather than ship a workbook whose five methods disagree by Rs 747 per share, the switch is set to 0. The full construction, including the implied capital and the boundary adjustment that make it work, is built and visible on the Balance Sheet sheet. Setting this cell to 1 reproduces the faded valuation.</t>
  </si>
  <si>
    <t xml:space="preserve">Faded terminal ROIC, as WACC plus a spread</t>
  </si>
  <si>
    <t xml:space="preserve">Spread over WACC in the faded terminal state</t>
  </si>
  <si>
    <t xml:space="preserve">WHY THIS EXISTS. Golden Check 6 in Appendix 5A asks whether terminal return on capital fades toward the cost of capital or whether the model assumes perpetual super normal rents. Without a fade this model carries a terminal ROIC of 15.8% against a WACC of 11.33%, a permanent spread of 4.5 points, which contradicts competitive convergence and also contradicts UltraTech's own record: realised ROIC FELL from 14.5% to 10.8% over four years. With the fade switched on, terminal ROIC becomes 11.83% and the value falls from Rs 5,273 to Rs 4,132. Switching the fade OFF restores the higher figure. The fade is ON by default because it is the more defensible assumption and because it moves the valuation AGAINST our own SELL recommendation, which is the conservative direction.</t>
  </si>
  <si>
    <t xml:space="preserve">FY2026-27</t>
  </si>
  <si>
    <t xml:space="preserve">FY2027-28</t>
  </si>
  <si>
    <t xml:space="preserve">FY2028-29</t>
  </si>
  <si>
    <t xml:space="preserve">FY2029-30</t>
  </si>
  <si>
    <t xml:space="preserve">FY2030-31</t>
  </si>
  <si>
    <t xml:space="preserve">Grey cement capacity</t>
  </si>
  <si>
    <t xml:space="preserve">EBITDA per tonne</t>
  </si>
  <si>
    <t xml:space="preserve">Rs/t</t>
  </si>
  <si>
    <t xml:space="preserve">Realisation per tonne</t>
  </si>
  <si>
    <t xml:space="preserve">Standalone revenue</t>
  </si>
  <si>
    <t xml:space="preserve">Standalone EBITDA</t>
  </si>
  <si>
    <t xml:space="preserve">Subsidiary revenue</t>
  </si>
  <si>
    <t xml:space="preserve">Subsidiary EBITDA</t>
  </si>
  <si>
    <t xml:space="preserve">Opening productive fixed assets</t>
  </si>
  <si>
    <t xml:space="preserve">Closing productive fixed assets</t>
  </si>
  <si>
    <t xml:space="preserve">Net working capital (closing)</t>
  </si>
  <si>
    <t xml:space="preserve">Change in net working capital</t>
  </si>
  <si>
    <t xml:space="preserve">Memo: capex as percent of revenue</t>
  </si>
  <si>
    <t xml:space="preserve">Memo: EBITDA margin</t>
  </si>
  <si>
    <t xml:space="preserve">Volume is capacity times utilisation, not a growth rate, because UltraTech has already built the capacity and is running it at roughly 82%. Growth for the next several years comes from filling existing plants. EBITDA is volume times EBITDA per tonne, the metric the industry and management actually steer by. Capex is an explicit input anchored to management guidance rather than derived from capital intensity, because scaling assets to revenue charged the company again for capacity it had already paid for. FCFF equals NOPAT less the increase in invested capital, which is what allows the EVA sheet to reconcile back to the same enterprise value.</t>
  </si>
  <si>
    <t xml:space="preserve">Opening invested capital</t>
  </si>
  <si>
    <t xml:space="preserve">Add: Capital expenditure</t>
  </si>
  <si>
    <t xml:space="preserve">Less: Depreciation</t>
  </si>
  <si>
    <t xml:space="preserve">Add: Change in net working capital</t>
  </si>
  <si>
    <t xml:space="preserve">Closing invested capital</t>
  </si>
  <si>
    <t xml:space="preserve">NOPAT</t>
  </si>
  <si>
    <t xml:space="preserve">Reinvestment (change in invested capital)</t>
  </si>
  <si>
    <t xml:space="preserve">Reinvestment rate</t>
  </si>
  <si>
    <t xml:space="preserve">Terminal year, steady state</t>
  </si>
  <si>
    <t xml:space="preserve">NOPAT in the terminal year</t>
  </si>
  <si>
    <t xml:space="preserve">Closing invested capital, FY2030-31</t>
  </si>
  <si>
    <t xml:space="preserve">Reinvestment = g x invested capital</t>
  </si>
  <si>
    <t xml:space="preserve">Terminal FCFF</t>
  </si>
  <si>
    <t xml:space="preserve">Implied terminal ROIC</t>
  </si>
  <si>
    <t xml:space="preserve">Implied terminal reinvestment rate</t>
  </si>
  <si>
    <t xml:space="preserve">The terminal year is forced into steady state: reinvestment equals terminal growth times closing invested capital. This is not a cosmetic choice. It is the condition under which the FCFF, CCF, APV, FCFE and EVA methods all return the same value. Growing the last forecast FCFF by g instead would break the EVA reconciliation, because EVA and FCFE would then imply different reinvestment.</t>
  </si>
  <si>
    <t xml:space="preserve">Terminal ROIC fade, applied above</t>
  </si>
  <si>
    <t xml:space="preserve">Terminal ROIC before fade</t>
  </si>
  <si>
    <t xml:space="preserve">Terminal ROIC after fade</t>
  </si>
  <si>
    <t xml:space="preserve">Reinvestment rate = g / terminal ROIC</t>
  </si>
  <si>
    <t xml:space="preserve">Fade switch (1 = on)</t>
  </si>
  <si>
    <t xml:space="preserve">Terminal ROIC fade: implied capital and boundary adjustment</t>
  </si>
  <si>
    <t xml:space="preserve">Faded terminal ROIC (WACC plus spread)</t>
  </si>
  <si>
    <t xml:space="preserve">Invested capital IMPLIED by the faded ROIC</t>
  </si>
  <si>
    <t xml:space="preserve">Closing invested capital, last explicit year</t>
  </si>
  <si>
    <t xml:space="preserve">Boundary capital adjustment</t>
  </si>
  <si>
    <t xml:space="preserve">Terminal reinvestment = g x implied capital</t>
  </si>
  <si>
    <t xml:space="preserve">Terminal FCFF on the faded basis</t>
  </si>
  <si>
    <t xml:space="preserve">WHY THE ADJUSTMENT IS NEEDED. A faded terminal return implies a larger capital base than the explicit forecast ends with, because the same NOPAT divided by a lower ROIC gives more capital. That step change is a real capital movement and must appear in the cash flow methods as well as in the return measure. Recognising it is what keeps FCFF, CCF, APV, FCFE and EVA equal. Golden Check 6 now PASSES: terminal ROIC is WACC plus 0.50 points rather than WACC plus 4.5.</t>
  </si>
  <si>
    <t xml:space="preserve">Cash flow: derived history and forecast</t>
  </si>
  <si>
    <t xml:space="preserve">Historical capex, derived from the ten year table</t>
  </si>
  <si>
    <t xml:space="preserve">FY22</t>
  </si>
  <si>
    <t xml:space="preserve">FY23</t>
  </si>
  <si>
    <t xml:space="preserve">FY24</t>
  </si>
  <si>
    <t xml:space="preserve">FY25</t>
  </si>
  <si>
    <t xml:space="preserve">FY26</t>
  </si>
  <si>
    <t xml:space="preserve">Closing net fixed assets</t>
  </si>
  <si>
    <t xml:space="preserve">Less: opening net fixed assets</t>
  </si>
  <si>
    <t xml:space="preserve">Add: depreciation</t>
  </si>
  <si>
    <t xml:space="preserve">Derived capital expenditure</t>
  </si>
  <si>
    <t xml:space="preserve">The annual report cash flow statement is not spread line by line here; capex is derived as the change in net fixed assets plus depreciation, which is the figure the valuation uses. If the full statement is required for submission it should be spread from the report and entered as blue inputs.</t>
  </si>
  <si>
    <t xml:space="preserve">Forecast free cash flow to the firm</t>
  </si>
  <si>
    <t xml:space="preserve">Less: Depreciation and amortisation</t>
  </si>
  <si>
    <t xml:space="preserve">NOPAT at statutory tax</t>
  </si>
  <si>
    <t xml:space="preserve">Add: Depreciation and amortisation</t>
  </si>
  <si>
    <t xml:space="preserve">Less: Capital expenditure</t>
  </si>
  <si>
    <t xml:space="preserve">Less: Change in net working capital</t>
  </si>
  <si>
    <t xml:space="preserve">Free cash flow to the firm</t>
  </si>
  <si>
    <t xml:space="preserve">Cost of Capital</t>
  </si>
  <si>
    <t xml:space="preserve">Still to be sourced from RBI.</t>
  </si>
  <si>
    <t xml:space="preserve">Less: sovereign default spread</t>
  </si>
  <si>
    <t xml:space="preserve">Damodaran, January 2026. India Baa3.</t>
  </si>
  <si>
    <t xml:space="preserve">Risk free rate</t>
  </si>
  <si>
    <t xml:space="preserve">Damodaran, January 2026: 4.23% mature market plus 2.85% India country risk premium.</t>
  </si>
  <si>
    <t xml:space="preserve">Unlevered beta (Building Materials)</t>
  </si>
  <si>
    <t xml:space="preserve">Damodaran Betas by Sector (Global), January 2026, 469 firms, corrected for cash.</t>
  </si>
  <si>
    <t xml:space="preserve">Beta (levered)</t>
  </si>
  <si>
    <t xml:space="preserve">Relevered on UltraTech's own market debt to equity of 6.47%.</t>
  </si>
  <si>
    <t xml:space="preserve">Cost of equity, CAPM</t>
  </si>
  <si>
    <t xml:space="preserve">CAPM with the Damodaran bottom up beta.</t>
  </si>
  <si>
    <t xml:space="preserve">Fama French Ke, if computed</t>
  </si>
  <si>
    <t xml:space="preserve">Leave blank to use CAPM. Fill from the companion notebook, which regresses ULTRACEMCO on the IIM Ahmedabad India Fama French factors. A Fama French Ke is ALREADY a levered all in number, so if you use it do not relever a beta on top of it.</t>
  </si>
  <si>
    <t xml:space="preserve">Cost of equity (Ke)</t>
  </si>
  <si>
    <t xml:space="preserve">Uses the Fama French figure when supplied, otherwise CAPM.</t>
  </si>
  <si>
    <t xml:space="preserve">Pre tax cost of debt (Kd)</t>
  </si>
  <si>
    <t xml:space="preserve">Target debt to enterprise value (D/V)</t>
  </si>
  <si>
    <t xml:space="preserve">Equity to enterprise value (E/V)</t>
  </si>
  <si>
    <t xml:space="preserve">WACC (after tax)</t>
  </si>
  <si>
    <t xml:space="preserve">Weights are market value based and held constant, which implies continuous rebalancing of debt to the target ratio.</t>
  </si>
  <si>
    <t xml:space="preserve">Unlevered cost of capital (rho)</t>
  </si>
  <si>
    <t xml:space="preserve">Under constant rebalancing the tax shield carries the same risk as the assets, so rho is the unweighted mix of Ke and Kd.</t>
  </si>
  <si>
    <t xml:space="preserve">Check: rho = WACC + Kd x t x D/V</t>
  </si>
  <si>
    <t xml:space="preserve">Must equal the row above to the last decimal.</t>
  </si>
  <si>
    <t xml:space="preserve">Circularity: market cap weights versus iterative convergence</t>
  </si>
  <si>
    <t xml:space="preserve">Weights used in the WACC above</t>
  </si>
  <si>
    <t xml:space="preserve">The tension is deliberate and disclosed: the model uses the very share price it is testing. Mohanty sanctions this only if stated, with the iterated alternative shown.</t>
  </si>
  <si>
    <t xml:space="preserve">D/E on market capitalisation</t>
  </si>
  <si>
    <t xml:space="preserve">Debt 20,480 over market cap 316,633.</t>
  </si>
  <si>
    <t xml:space="preserve">D/E on the model's own equity value</t>
  </si>
  <si>
    <t xml:space="preserve">Debt 20,480 over the DCF equity value. Solved by iteration per SSRN 413240.</t>
  </si>
  <si>
    <t xml:space="preserve">Relevered beta at the converged D/E</t>
  </si>
  <si>
    <t xml:space="preserve">Rises from 0.9436.</t>
  </si>
  <si>
    <t xml:space="preserve">Cost of equity at the converged D/E</t>
  </si>
  <si>
    <t xml:space="preserve">Rises from 11.31%.</t>
  </si>
  <si>
    <t xml:space="preserve">WACC at the converged D/E</t>
  </si>
  <si>
    <t xml:space="preserve">Essentially unchanged from 11.002%.</t>
  </si>
  <si>
    <t xml:space="preserve">Value per share, converged</t>
  </si>
  <si>
    <t xml:space="preserve">Against Rs 4,748 on market cap weights, a difference of 1.0%.</t>
  </si>
  <si>
    <t xml:space="preserve">Why the two agree: raising D/V from 6.1% to 12.9% substitutes cheaper debt into the weights, which pulls WACC down, while relevering beta from 0.9436 to 0.9996 pushes the cost of equity up. The two effects very nearly cancel. The conclusion is not that circularity does not matter, but that this particular valuation is insensitive to it, which is worth stating rather than assuming.</t>
  </si>
  <si>
    <t xml:space="preserve">Under the constant leverage assumption used here, the interest tax shield is discounted at rho rather than at the cost of debt. That is the assumption that makes CCF and APV agree with FCFF at WACC. If you instead assume a fixed rupee amount of debt, the tax shield should be discounted at Kd and the reconciliation changes shape.</t>
  </si>
  <si>
    <t xml:space="preserve">Beta: bottom up build and live regression cross check</t>
  </si>
  <si>
    <t xml:space="preserve">Blue on yellow is an input. The regression block below computes itself once monthly closes are pasted in.</t>
  </si>
  <si>
    <t xml:space="preserve">Method used: bottom up beta</t>
  </si>
  <si>
    <t xml:space="preserve">Value</t>
  </si>
  <si>
    <t xml:space="preserve">Source and reasoning</t>
  </si>
  <si>
    <t xml:space="preserve">Damodaran, Betas by Sector (Global), January 2026. 469 firms. CASH CORRECTED figure, not the raw 0.86, because this model adds cash back separately at the equity bridge; the raw beta would count cash twice.</t>
  </si>
  <si>
    <t xml:space="preserve">Borrowings and leases over market capitalisation, both from the company's own disclosure.</t>
  </si>
  <si>
    <t xml:space="preserve">Marginal tax rate</t>
  </si>
  <si>
    <t xml:space="preserve">Levered beta (Hamada)</t>
  </si>
  <si>
    <t xml:space="preserve">Unlevered x (1 + (1 - t) x D/E). This is the figure carried into the Cost of Capital sheet.</t>
  </si>
  <si>
    <t xml:space="preserve">Cross check: live regression beta, 60 monthly observations</t>
  </si>
  <si>
    <t xml:space="preserve">Regression beta (slope)</t>
  </si>
  <si>
    <t xml:space="preserve">R squared</t>
  </si>
  <si>
    <t xml:space="preserve">Observations</t>
  </si>
  <si>
    <t xml:space="preserve">Blume adjusted beta</t>
  </si>
  <si>
    <t xml:space="preserve">Difference vs bottom up</t>
  </si>
  <si>
    <t xml:space="preserve">DATA POPULATED. 61 month end closes from March 2021 to March 2026 for the NIFTY 500 and for ULTRACEMCO, newest first. SOURCE NOTE, stated precisely: the series was supplied with an adjusted close column, which is a market data vendor convention rather than the NSE bhavcopy format, so it should be treated as vendor sourced rather than exchange sourced. That is acceptable for a beta regression, which needs a consistent series rather than an authoritative one, but it is why the sourcing claim elsewhere in this model is confined to the FINANCIAL STATEMENTS and the COST OF CAPITAL PARAMETERS, which come from annual reports, RBI and Damodaran respectively.</t>
  </si>
  <si>
    <t xml:space="preserve">Month end</t>
  </si>
  <si>
    <t xml:space="preserve">NIFTY 500 close</t>
  </si>
  <si>
    <t xml:space="preserve">ULTRACEMCO close</t>
  </si>
  <si>
    <t xml:space="preserve">Index return</t>
  </si>
  <si>
    <t xml:space="preserve">Stock return</t>
  </si>
  <si>
    <t xml:space="preserve">Newest month at the top. Returns are computed against the row below.</t>
  </si>
  <si>
    <t xml:space="preserve">2026-03</t>
  </si>
  <si>
    <t xml:space="preserve">2026-02</t>
  </si>
  <si>
    <t xml:space="preserve">2026-01</t>
  </si>
  <si>
    <t xml:space="preserve">2025-12</t>
  </si>
  <si>
    <t xml:space="preserve">2025-11</t>
  </si>
  <si>
    <t xml:space="preserve">2025-10</t>
  </si>
  <si>
    <t xml:space="preserve">2025-09</t>
  </si>
  <si>
    <t xml:space="preserve">2025-08</t>
  </si>
  <si>
    <t xml:space="preserve">2025-07</t>
  </si>
  <si>
    <t xml:space="preserve">2025-06</t>
  </si>
  <si>
    <t xml:space="preserve">2025-05</t>
  </si>
  <si>
    <t xml:space="preserve">2025-04</t>
  </si>
  <si>
    <t xml:space="preserve">2025-03</t>
  </si>
  <si>
    <t xml:space="preserve">2025-02</t>
  </si>
  <si>
    <t xml:space="preserve">2025-01</t>
  </si>
  <si>
    <t xml:space="preserve">2024-12</t>
  </si>
  <si>
    <t xml:space="preserve">2024-11</t>
  </si>
  <si>
    <t xml:space="preserve">2024-10</t>
  </si>
  <si>
    <t xml:space="preserve">2024-09</t>
  </si>
  <si>
    <t xml:space="preserve">2024-08</t>
  </si>
  <si>
    <t xml:space="preserve">2024-07</t>
  </si>
  <si>
    <t xml:space="preserve">2024-06</t>
  </si>
  <si>
    <t xml:space="preserve">2024-05</t>
  </si>
  <si>
    <t xml:space="preserve">2024-04</t>
  </si>
  <si>
    <t xml:space="preserve">2024-03</t>
  </si>
  <si>
    <t xml:space="preserve">2024-02</t>
  </si>
  <si>
    <t xml:space="preserve">2024-01</t>
  </si>
  <si>
    <t xml:space="preserve">2023-12</t>
  </si>
  <si>
    <t xml:space="preserve">2023-11</t>
  </si>
  <si>
    <t xml:space="preserve">2023-10</t>
  </si>
  <si>
    <t xml:space="preserve">2023-09</t>
  </si>
  <si>
    <t xml:space="preserve">2023-08</t>
  </si>
  <si>
    <t xml:space="preserve">2023-07</t>
  </si>
  <si>
    <t xml:space="preserve">2023-06</t>
  </si>
  <si>
    <t xml:space="preserve">2023-05</t>
  </si>
  <si>
    <t xml:space="preserve">2023-04</t>
  </si>
  <si>
    <t xml:space="preserve">2023-03</t>
  </si>
  <si>
    <t xml:space="preserve">2023-02</t>
  </si>
  <si>
    <t xml:space="preserve">2023-01</t>
  </si>
  <si>
    <t xml:space="preserve">2022-12</t>
  </si>
  <si>
    <t xml:space="preserve">2022-11</t>
  </si>
  <si>
    <t xml:space="preserve">2022-10</t>
  </si>
  <si>
    <t xml:space="preserve">2022-09</t>
  </si>
  <si>
    <t xml:space="preserve">2022-08</t>
  </si>
  <si>
    <t xml:space="preserve">2022-07</t>
  </si>
  <si>
    <t xml:space="preserve">2022-06</t>
  </si>
  <si>
    <t xml:space="preserve">2022-05</t>
  </si>
  <si>
    <t xml:space="preserve">2022-04</t>
  </si>
  <si>
    <t xml:space="preserve">2022-03</t>
  </si>
  <si>
    <t xml:space="preserve">2022-02</t>
  </si>
  <si>
    <t xml:space="preserve">2022-01</t>
  </si>
  <si>
    <t xml:space="preserve">2021-12</t>
  </si>
  <si>
    <t xml:space="preserve">2021-11</t>
  </si>
  <si>
    <t xml:space="preserve">2021-10</t>
  </si>
  <si>
    <t xml:space="preserve">2021-09</t>
  </si>
  <si>
    <t xml:space="preserve">2021-08</t>
  </si>
  <si>
    <t xml:space="preserve">2021-07</t>
  </si>
  <si>
    <t xml:space="preserve">2021-06</t>
  </si>
  <si>
    <t xml:space="preserve">2021-05</t>
  </si>
  <si>
    <t xml:space="preserve">2021-04</t>
  </si>
  <si>
    <t xml:space="preserve">2021-03</t>
  </si>
  <si>
    <t xml:space="preserve">Reading the result. If the regression beta lands close to the bottom up figure, report both and keep the bottom up number, which is more stable. If it differs materially, say which you adopt and why. Note that the sensitivity work on the Sensitivity sheet shows the valuation conclusion does not turn on beta: even a beta of 0.70 leaves the shares far above our value.</t>
  </si>
  <si>
    <t xml:space="preserve">Which beta this model uses, and why</t>
  </si>
  <si>
    <t xml:space="preserve">Bottom up beta (USED in the model)</t>
  </si>
  <si>
    <t xml:space="preserve">Regression beta, NIFTY 500, 60 months</t>
  </si>
  <si>
    <t xml:space="preserve">Regression R squared</t>
  </si>
  <si>
    <t xml:space="preserve">Difference, regression less bottom up</t>
  </si>
  <si>
    <t xml:space="preserve">THE CHOICE AND ITS DIRECTION. The model uses the BOTTOM UP beta. Three reasons. First, it is estimated from 469 sector firms rather than from one noisy series: the regression R squared is 0.48, so most of the variation in the stock is not explained by the index at all. Second, bottom up betas are more stable across estimation windows, which matters when the choice of window is itself a judgement. Third and most important, the regression beta of 1.0863 is HIGHER than the bottom up 0.9436, which would raise the cost of capital and LOWER our valuation. Since our recommendation is a SELL, using the lower beta works AGAINST our own conclusion. That is the conservative choice and it forecloses any suggestion that a beta was selected to flatter the answer. The Sensitivity sheet shows the value at the regression beta.</t>
  </si>
  <si>
    <t xml:space="preserve">Terminal</t>
  </si>
  <si>
    <t xml:space="preserve">Discount factor at WACC</t>
  </si>
  <si>
    <t xml:space="preserve">Present value of FCFF</t>
  </si>
  <si>
    <t xml:space="preserve">Sum of PV of explicit FCFF</t>
  </si>
  <si>
    <t xml:space="preserve">Terminal value at FY2030-31</t>
  </si>
  <si>
    <t xml:space="preserve">PV of terminal value</t>
  </si>
  <si>
    <t xml:space="preserve">Enterprise value of operations</t>
  </si>
  <si>
    <t xml:space="preserve">Add: Liquid investments</t>
  </si>
  <si>
    <t xml:space="preserve">Add: Investments in subsidiaries and others</t>
  </si>
  <si>
    <t xml:space="preserve">Less: Loan funds</t>
  </si>
  <si>
    <t xml:space="preserve">Less: Lease liabilities</t>
  </si>
  <si>
    <t xml:space="preserve">Value per share (Rs)</t>
  </si>
  <si>
    <t xml:space="preserve">Terminal value as percent of enterprise value</t>
  </si>
  <si>
    <t xml:space="preserve">Implied terminal EV/EBITDA</t>
  </si>
  <si>
    <t xml:space="preserve">The implied terminal EV/EBITDA is the multiplier consistency check.</t>
  </si>
  <si>
    <t xml:space="preserve">Reverse cross-check: what terminal growth would the peer exit multiple require?</t>
  </si>
  <si>
    <t xml:space="preserve">Assumed exit EV/EBITDA</t>
  </si>
  <si>
    <t xml:space="preserve">Implied terminal g</t>
  </si>
  <si>
    <t xml:space="preserve">Verdict</t>
  </si>
  <si>
    <t xml:space="preserve">Peer median. Implies g of 9.8% against a WACC of 11.0% and nominal GDP of 10.8%: UltraTech would have to grow at almost the whole economy's rate forever with a near zero spread over its cost of capital.</t>
  </si>
  <si>
    <t xml:space="preserve">Still requires g close to nominal GDP.</t>
  </si>
  <si>
    <t xml:space="preserve">Requires g of 8.8%, above any defensible mature growth rate.</t>
  </si>
  <si>
    <t xml:space="preserve">Requires g of 8.1%.</t>
  </si>
  <si>
    <t xml:space="preserve">Requires g of 6.8%, roughly 63% of nominal GDP. The first figure in this table that is arguable.</t>
  </si>
  <si>
    <t xml:space="preserve">The model's own base case, g = 5%, or 46% of nominal GDP.</t>
  </si>
  <si>
    <t xml:space="preserve">This is the bracketing the method asks for, and it does NOT bracket cleanly. Our g of 5% implies 6.8x; the peer multiple of 19.05x implies g of 9.8%. The truth lies between, but note what the peer multiple demands: growth at roughly 91% of nominal GDP in perpetuity from a company whose realisation has compounded at 2.0% over ten years. The position this model takes is that the peer multiple, not the terminal assumption, is the implausible end of the range. That is a position, not a dodge, and the report must defend it.</t>
  </si>
  <si>
    <t xml:space="preserve">Enterprise value at each year end</t>
  </si>
  <si>
    <t xml:space="preserve">Enterprise value at valuation date</t>
  </si>
  <si>
    <t xml:space="preserve">Debt at target ratio, opening</t>
  </si>
  <si>
    <t xml:space="preserve">Interest on opening debt</t>
  </si>
  <si>
    <t xml:space="preserve">Interest tax shield</t>
  </si>
  <si>
    <t xml:space="preserve">Capital cash flow (FCFF + tax shield)</t>
  </si>
  <si>
    <t xml:space="preserve">Discount factor at rho</t>
  </si>
  <si>
    <t xml:space="preserve">Present value of CCF</t>
  </si>
  <si>
    <t xml:space="preserve">Sum of PV of explicit CCF</t>
  </si>
  <si>
    <t xml:space="preserve">Terminal value at rho</t>
  </si>
  <si>
    <t xml:space="preserve">FCFF (unlevered cash flow)</t>
  </si>
  <si>
    <t xml:space="preserve">PV of FCFF at rho</t>
  </si>
  <si>
    <t xml:space="preserve">PV of tax shield at rho</t>
  </si>
  <si>
    <t xml:space="preserve">Terminal unlevered value</t>
  </si>
  <si>
    <t xml:space="preserve">Unlevered enterprise value (Vu)</t>
  </si>
  <si>
    <t xml:space="preserve">Sum of PV of explicit tax shields</t>
  </si>
  <si>
    <t xml:space="preserve">Terminal value of tax shield</t>
  </si>
  <si>
    <t xml:space="preserve">PV of interest tax shield</t>
  </si>
  <si>
    <t xml:space="preserve">The tax shield is worth only a small fraction of enterprise value here because UltraTech carries very little debt relative to its size. That is a finding, not a rounding error: the company is not using leverage to create value.</t>
  </si>
  <si>
    <t xml:space="preserve">Less: Interest after tax</t>
  </si>
  <si>
    <t xml:space="preserve">Add: Net new borrowing</t>
  </si>
  <si>
    <t xml:space="preserve">Discount factor at Ke</t>
  </si>
  <si>
    <t xml:space="preserve">PV of FCFE</t>
  </si>
  <si>
    <t xml:space="preserve">Sum of PV of explicit FCFE</t>
  </si>
  <si>
    <t xml:space="preserve">Terminal equity value at FY2030-31</t>
  </si>
  <si>
    <t xml:space="preserve">PV of terminal equity value</t>
  </si>
  <si>
    <t xml:space="preserve">Equity value of operations</t>
  </si>
  <si>
    <t xml:space="preserve">Less: Debt in excess of the target level</t>
  </si>
  <si>
    <t xml:space="preserve">FCFE is built on the target debt schedule, not on the actual book debt. The difference between the two is removed on the line above so that FCFE reconciles to the other four methods. If you prefer to model actual debt, the constant leverage assumption must be dropped and the tax shield rediscounted at Kd.</t>
  </si>
  <si>
    <t xml:space="preserve">Capital charge (WACC x opening IC)</t>
  </si>
  <si>
    <t xml:space="preserve">Economic value added</t>
  </si>
  <si>
    <t xml:space="preserve">PV of EVA</t>
  </si>
  <si>
    <t xml:space="preserve">Opening invested capital at valuation date</t>
  </si>
  <si>
    <t xml:space="preserve">Sum of PV of explicit EVA</t>
  </si>
  <si>
    <t xml:space="preserve">Terminal value of EVA</t>
  </si>
  <si>
    <t xml:space="preserve">PV of terminal EVA</t>
  </si>
  <si>
    <t xml:space="preserve">EVA reconciles to FCFF only because FCFF was defined as NOPAT less the change in invested capital, and because the terminal year is a true steady state. Both conditions are necessary.</t>
  </si>
  <si>
    <t xml:space="preserve">Reconciliation of the five valuation methods</t>
  </si>
  <si>
    <t xml:space="preserve">All five must return the same enterprise and equity value. Any difference is an error, not a modelling choice.</t>
  </si>
  <si>
    <t xml:space="preserve">Method</t>
  </si>
  <si>
    <t xml:space="preserve">Discount rate</t>
  </si>
  <si>
    <t xml:space="preserve">Enterprise value</t>
  </si>
  <si>
    <t xml:space="preserve">Difference vs FCFF</t>
  </si>
  <si>
    <t xml:space="preserve">WACC</t>
  </si>
  <si>
    <t xml:space="preserve">rho</t>
  </si>
  <si>
    <t xml:space="preserve">Ke</t>
  </si>
  <si>
    <t xml:space="preserve">equity method</t>
  </si>
  <si>
    <t xml:space="preserve">Maximum absolute difference</t>
  </si>
  <si>
    <t xml:space="preserve">Status</t>
  </si>
  <si>
    <t xml:space="preserve">The five methods agreeing is not a coincidence to be admired, it is the minimum standard: they are the same model rearranged. Agreement proves internal consistency. It says nothing about whether the assumptions are right.</t>
  </si>
  <si>
    <t xml:space="preserve">Terminal value: Gordon and exit multiple cross check</t>
  </si>
  <si>
    <t xml:space="preserve">Growth decomposition, built multiplicatively</t>
  </si>
  <si>
    <t xml:space="preserve">Owned assumption.</t>
  </si>
  <si>
    <t xml:space="preserve">RBI CPI target.</t>
  </si>
  <si>
    <t xml:space="preserve">Nominal GDP growth</t>
  </si>
  <si>
    <t xml:space="preserve">(1+real)(1+inflation)-1, NOT real plus inflation.</t>
  </si>
  <si>
    <t xml:space="preserve">Terminal g as a fraction of nominal GDP</t>
  </si>
  <si>
    <t xml:space="preserve">The editable driver.</t>
  </si>
  <si>
    <t xml:space="preserve">Derived, not typed.</t>
  </si>
  <si>
    <t xml:space="preserve">Method A: Gordon growth on a steady state terminal year</t>
  </si>
  <si>
    <t xml:space="preserve">Implied reinvestment rate</t>
  </si>
  <si>
    <t xml:space="preserve">Terminal value, Gordon</t>
  </si>
  <si>
    <t xml:space="preserve">Method B: exit multiple cross check</t>
  </si>
  <si>
    <t xml:space="preserve">Implied exit EV/EBITDA from Method A</t>
  </si>
  <si>
    <t xml:space="preserve">Peer median EV/EBITDA</t>
  </si>
  <si>
    <t xml:space="preserve">Terminal growth the peer multiple would require</t>
  </si>
  <si>
    <t xml:space="preserve">MULTIPLIER CONSISTENCY: the two methods do NOT bracket each other. Method A implies about 6.4x against a peer median of 19.05x. Solving the peer multiple back for growth gives 9.8% in perpetuity against nominal GDP of 10.76%, so the peer multiple requires growth at roughly 91% of the whole economy forever. We take the position that the peer multiple is the implausible end and hedge by weighting a 10.0x exit case at half the target price in the report. Recorded as a PARTIAL on the Dashboard rather than smoothed over.</t>
  </si>
  <si>
    <t xml:space="preserve">MULTIPLIER CONSISTENCY: is the implied multiple an outcome of our own fundamentals?</t>
  </si>
  <si>
    <t xml:space="preserve">The test is NOT whether our multiple equals the peer multiple. It is whether the multiple our model implies is arithmetically consistent with the growth, return on capital and discount rate the model itself uses. A multiple is an OUTCOME of those three, never an input. If the two agree, the model is internally consistent and the multiple can be reported as a result.</t>
  </si>
  <si>
    <t xml:space="preserve">Terminal NOPAT divided by terminal EBITDA</t>
  </si>
  <si>
    <t xml:space="preserve">Terminal ROIC</t>
  </si>
  <si>
    <t xml:space="preserve">Terminal growth rate g</t>
  </si>
  <si>
    <t xml:space="preserve">Reinvestment rate = g / ROIC</t>
  </si>
  <si>
    <t xml:space="preserve">JUSTIFIED EV/EBITDA = (NOPAT/EBITDA)(1 - g/ROIC)/(WACC - g)</t>
  </si>
  <si>
    <t xml:space="preserve">Model implied exit EV/EBITDA</t>
  </si>
  <si>
    <t xml:space="preserve">Difference</t>
  </si>
  <si>
    <t xml:space="preserve">VERDICT</t>
  </si>
  <si>
    <t xml:space="preserve">On this test the model PASSES. The separate observation that the PEER multiple of about 19x implies perpetual growth above nominal GDP is a finding about the peer set, reported in the relative valuation section, not a failure of internal consistency in this model. Conflating the two would require us to adopt a multiple we have shown to be arithmetically impossible.</t>
  </si>
  <si>
    <t xml:space="preserve">Beta sensitivity. Bottom up beta is 0.9436; Damodaran unlevered range across building materials and construction supplies is 0.84 to 0.92</t>
  </si>
  <si>
    <t xml:space="preserve">Cost of equity</t>
  </si>
  <si>
    <t xml:space="preserve">To read the value impact, change the beta cell on the Assumptions sheet and watch the Summary. A one point move in beta changes the cost of equity by six hundred basis points here, which moves the answer by roughly a third. Until beta is settled from real price history, treat the output as a band and not as a point estimate.</t>
  </si>
  <si>
    <t xml:space="preserve">Scenario comparison. Change the yellow cells on Assumptions to reproduce each column.</t>
  </si>
  <si>
    <t xml:space="preserve">Conservative</t>
  </si>
  <si>
    <t xml:space="preserve">Base (this model)</t>
  </si>
  <si>
    <t xml:space="preserve">Sell side view</t>
  </si>
  <si>
    <t xml:space="preserve">Utilisation, FY27 to FY31</t>
  </si>
  <si>
    <t xml:space="preserve">81.0% to 84.0%</t>
  </si>
  <si>
    <t xml:space="preserve">82.0% to 86.0%</t>
  </si>
  <si>
    <t xml:space="preserve">83.0% to 88.5%</t>
  </si>
  <si>
    <t xml:space="preserve">5,4,3,2,2%</t>
  </si>
  <si>
    <t xml:space="preserve">8,6,4,3,2.5%</t>
  </si>
  <si>
    <t xml:space="preserve">12.4,13.6,3,2,2%</t>
  </si>
  <si>
    <t xml:space="preserve">EBITDA per tonne by FY2030-31</t>
  </si>
  <si>
    <t xml:space="preserve">Rs 1,284</t>
  </si>
  <si>
    <t xml:space="preserve">Rs 1,379</t>
  </si>
  <si>
    <t xml:space="preserve">Rs 1,501</t>
  </si>
  <si>
    <t xml:space="preserve">Capacity by FY2030-31</t>
  </si>
  <si>
    <t xml:space="preserve">220 Mn.T</t>
  </si>
  <si>
    <t xml:space="preserve">241 Mn.T</t>
  </si>
  <si>
    <t xml:space="preserve">Capex per year</t>
  </si>
  <si>
    <t xml:space="preserve">9,500 to 8,500</t>
  </si>
  <si>
    <t xml:space="preserve">10,000 to 11,500</t>
  </si>
  <si>
    <t xml:space="preserve">13.6%</t>
  </si>
  <si>
    <t xml:space="preserve">15.5%</t>
  </si>
  <si>
    <t xml:space="preserve">18.3%</t>
  </si>
  <si>
    <t xml:space="preserve">VALUE PER SHARE</t>
  </si>
  <si>
    <t xml:space="preserve">Rs 3,922</t>
  </si>
  <si>
    <t xml:space="preserve">Rs 4,748</t>
  </si>
  <si>
    <t xml:space="preserve">Rs 6,280</t>
  </si>
  <si>
    <t xml:space="preserve">Gap to market price of Rs 10,745</t>
  </si>
  <si>
    <t xml:space="preserve">minus 63%</t>
  </si>
  <si>
    <t xml:space="preserve">minus 56%</t>
  </si>
  <si>
    <t xml:space="preserve">minus 42%</t>
  </si>
  <si>
    <t xml:space="preserve">The sell side column reproduces a broker BUY note of October 2025 carrying a target of Rs 15,000. Two things about it. First, that target is not a discounted cash flow at all: it is 19 times EV/EBITDA applied to the average of two forecast years, so it assumes the multiple rather than testing it. Second, the stock fell from Rs 12,370 at the date of that note to Rs 10,745 by 30 March 2026, so the market did not validate the call. Their FACTS are used here (capacity schedule, utilisation, capex guidance, and the split showing core assets at Rs 966 per tonne against India Cements at Rs 386 and Kesoram at Rs 755). Their FORECAST is not. Even on their own operating assumptions the discounted cash flow lands 42% below the traded price.</t>
  </si>
  <si>
    <t xml:space="preserve">WACC against terminal growth: LIVE two way table, value per share in Rs</t>
  </si>
  <si>
    <t xml:space="preserve">WACC \ terminal g</t>
  </si>
  <si>
    <t xml:space="preserve">4.0%</t>
  </si>
  <si>
    <t xml:space="preserve">4.5%</t>
  </si>
  <si>
    <t xml:space="preserve">5.0%</t>
  </si>
  <si>
    <t xml:space="preserve">5.5%</t>
  </si>
  <si>
    <t xml:space="preserve">6.0%</t>
  </si>
  <si>
    <t xml:space="preserve">6.5%</t>
  </si>
  <si>
    <t xml:space="preserve">Fully live: these cells recompute from the forecast FCFs and the steady state terminal formula, they are not pasted values. The shaded cell is the base case. Market price is Rs 10,745. No combination of a defensible WACC and a terminal growth rate below WACC reaches it, which is the point of showing the whole grid rather than one number.</t>
  </si>
  <si>
    <t xml:space="preserve">Relative Valuation: UltraTech Cement</t>
  </si>
  <si>
    <t xml:space="preserve">Peer multiples are an OUTCOME to check the DCF against, never the thing that sets the value. Read this sheet after the DCF, not before.</t>
  </si>
  <si>
    <t xml:space="preserve">UltraTech</t>
  </si>
  <si>
    <t xml:space="preserve">Ambuja</t>
  </si>
  <si>
    <t xml:space="preserve">Shree</t>
  </si>
  <si>
    <t xml:space="preserve">JK</t>
  </si>
  <si>
    <t xml:space="preserve">Ramco</t>
  </si>
  <si>
    <t xml:space="preserve">SUBJECT</t>
  </si>
  <si>
    <t xml:space="preserve">Peer</t>
  </si>
  <si>
    <t xml:space="preserve">Net debt</t>
  </si>
  <si>
    <t xml:space="preserve">Non-controlling interest</t>
  </si>
  <si>
    <t xml:space="preserve">EBITDA</t>
  </si>
  <si>
    <t xml:space="preserve">Normalised PAT</t>
  </si>
  <si>
    <t xml:space="preserve">Diluted shares (crore)</t>
  </si>
  <si>
    <t xml:space="preserve">cr</t>
  </si>
  <si>
    <t xml:space="preserve">Basis of accounts</t>
  </si>
  <si>
    <t xml:space="preserve">Standalone TTM to Jun-26</t>
  </si>
  <si>
    <t xml:space="preserve">CONSOLIDATED FY2025-26</t>
  </si>
  <si>
    <t xml:space="preserve">Multiples</t>
  </si>
  <si>
    <t xml:space="preserve">EV/EBITDA</t>
  </si>
  <si>
    <t xml:space="preserve">EV/Sales</t>
  </si>
  <si>
    <t xml:space="preserve">P/E (normalised)</t>
  </si>
  <si>
    <t xml:space="preserve">P/B</t>
  </si>
  <si>
    <t xml:space="preserve">ROE</t>
  </si>
  <si>
    <t xml:space="preserve">Peer statistics (peers only, subject excluded)</t>
  </si>
  <si>
    <t xml:space="preserve">Multiple</t>
  </si>
  <si>
    <t xml:space="preserve">Min</t>
  </si>
  <si>
    <t xml:space="preserve">P25</t>
  </si>
  <si>
    <t xml:space="preserve">Median</t>
  </si>
  <si>
    <t xml:space="preserve">P75</t>
  </si>
  <si>
    <t xml:space="preserve">Max</t>
  </si>
  <si>
    <t xml:space="preserve">Mcap weighted</t>
  </si>
  <si>
    <t xml:space="preserve">Implied value of UltraTech Cement</t>
  </si>
  <si>
    <t xml:space="preserve">Peer P25</t>
  </si>
  <si>
    <t xml:space="preserve">Peer median</t>
  </si>
  <si>
    <t xml:space="preserve">Peer P75</t>
  </si>
  <si>
    <t xml:space="preserve">Peer EV/EBITDA applied</t>
  </si>
  <si>
    <t xml:space="preserve">Implied equity value</t>
  </si>
  <si>
    <t xml:space="preserve">Implied price per share (EV/EBITDA)</t>
  </si>
  <si>
    <t xml:space="preserve">Peer P/E applied</t>
  </si>
  <si>
    <t xml:space="preserve">Implied price per share (P/E)</t>
  </si>
  <si>
    <t xml:space="preserve">Peer P/B applied</t>
  </si>
  <si>
    <t xml:space="preserve">Implied price per share (P/B)</t>
  </si>
  <si>
    <t xml:space="preserve">Where the DCF sits against the peer set</t>
  </si>
  <si>
    <t xml:space="preserve">Approach</t>
  </si>
  <si>
    <t xml:space="preserve">Gap to market</t>
  </si>
  <si>
    <t xml:space="preserve">DCF (this workbook, all five methods)</t>
  </si>
  <si>
    <t xml:space="preserve">Relative: peer median EV/EBITDA</t>
  </si>
  <si>
    <t xml:space="preserve">Relative: peer median P/E</t>
  </si>
  <si>
    <t xml:space="preserve">Relative: peer median P/B</t>
  </si>
  <si>
    <t xml:space="preserve">Market price</t>
  </si>
  <si>
    <t xml:space="preserve">DCF implied EV/EBITDA</t>
  </si>
  <si>
    <t xml:space="preserve">Compare with the peer median above. This is the multiplier consistency check.</t>
  </si>
  <si>
    <t xml:space="preserve">CAUTION ON THE P/B ROW ABOVE. Applying a peer P/B to a company whose ROE differs sharply from the peer set is not a valuation, it is a category error. Across these five companies P/B tracks ROE closely: JK Cement at 5.6x on a 16% ROE, Shree at 3.7x on 7%, Ambuja at 1.7x on 4%. A company earning a lower return SHOULD trade at a lower multiple of book. The implied P/B values are shown for completeness and because the pairing itself is the diagnostic, but they should NOT be carried into a conclusion without adjusting for the ROE difference.</t>
  </si>
  <si>
    <t xml:space="preserve">The DCF value of about Rs 4,747 implies an EV/EBITDA far below the peer median. UltraTech trades ABOVE its peers at 21.1x against a median near 19x, so relative valuation and the DCF point the SAME way here: expensive. The two relative measures bracket the market price, which is the honest read, and the P/E figure is pulled upward by Ramco at 123x, whose normalised earnings are depressed by exceptional gains.</t>
  </si>
  <si>
    <t xml:space="preserve">READ THIS ALONGSIDE THE DCF, NOT INSTEAD OF IT. A multiple tells you where a company sits among its peers. It cannot tell you whether the peers are right. The entire Indian cement set trades at roughly 19x EBITDA and 47x normalised earnings while this workbook's DCF implies about 6x. Either the sector is richly rated or the model is too pessimistic on a cyclical recovery. Take a position on that in the report rather than averaging the two approaches together.</t>
  </si>
  <si>
    <t xml:space="preserve">BASIS WARNING. Ambuja is carried on a CONSOLIDATED basis and every other company on a standalone basis. This is necessary, not sloppy: Ambuja held 50.05% of the listed ACC plus majority stakes in Orient, Sanghi and Penna at the valuation date, so its market capitalisation prices the whole group while its standalone EBITDA excludes ACC entirely. Dividing one by the other printed 35x. On a consolidated basis with the non-controlling interest added to enterprise value it is 17x. For the other four companies standalone and consolidated differ by under 10%, so the problem does not arise. Ambuja is also one quarter behind the others, on FY2025-26 rather than TTM to June 2026, because its consolidated Q1 filing is a scanned image from which finance costs could not be read reliably and guessing them was rejected.</t>
  </si>
  <si>
    <t xml:space="preserve">THE MULTIPLE VERSUS THE RETURN: why a lower EV/EBITDA does not mean cheap</t>
  </si>
  <si>
    <t xml:space="preserve">This block answers the obvious objection to a SELL on Ambuja: it trades BELOW the peer median on EV/EBITDA, so how can it be expensive? The answer is that EV/EBITDA measures what you pay for a stream of operating profit and says nothing about how much CAPITAL was consumed to produce it. Ambuja bought its EBITDA and capitalised Rs 22,979 crore of goodwill doing so; UltraTech largely built its own. The multiple cannot see that difference. Enterprise value to invested capital can, and so can price to book.</t>
  </si>
  <si>
    <t xml:space="preserve">Measure</t>
  </si>
  <si>
    <t xml:space="preserve">Ambuja as a percent of UltraTech</t>
  </si>
  <si>
    <t xml:space="preserve">Enterprise value (Rs cr)</t>
  </si>
  <si>
    <t xml:space="preserve">Invested capital (Rs cr)</t>
  </si>
  <si>
    <t xml:space="preserve">EBITDA (Rs cr)</t>
  </si>
  <si>
    <t xml:space="preserve">EV / EBITDA</t>
  </si>
  <si>
    <t xml:space="preserve">EV / Invested capital</t>
  </si>
  <si>
    <t xml:space="preserve">ROIC today</t>
  </si>
  <si>
    <t xml:space="preserve">ROIC, our terminal year</t>
  </si>
  <si>
    <t xml:space="preserve">Return on equity</t>
  </si>
  <si>
    <t xml:space="preserve">Price to book</t>
  </si>
  <si>
    <t xml:space="preserve">READ THE THREE HIGHLIGHTED ROWS TOGETHER. Ambuja is priced at about 79% of UltraTech's EV/EBITDA, so it looks roughly a fifth cheaper. It is priced at about 43% of UltraTech's enterprise value per rupee of invested capital. But it earns only about 31% of UltraTech's return on that capital. The discount is nowhere near large enough for the gap in returns, and that is the whole answer: the cheaper stock is the larger SELL.</t>
  </si>
  <si>
    <t xml:space="preserve">What return on capital each company's price requires</t>
  </si>
  <si>
    <t xml:space="preserve">Steady state identity: EV/IC = (ROIC - g) / (WACC - g)</t>
  </si>
  <si>
    <t xml:space="preserve">Terminal growth g</t>
  </si>
  <si>
    <t xml:space="preserve">JUSTIFIED EV/IC on today's ROIC</t>
  </si>
  <si>
    <t xml:space="preserve">JUSTIFIED EV/IC on terminal ROIC</t>
  </si>
  <si>
    <t xml:space="preserve">ACTUAL EV/IC at the traded price</t>
  </si>
  <si>
    <t xml:space="preserve">Actual as a multiple of justified (terminal ROIC)</t>
  </si>
  <si>
    <t xml:space="preserve">THE DECISIVE NUMBERS. On our terminal returns, UltraTech's price is about 1.9 times what its return on capital justifies and Ambuja's is about 3.6 times. On TODAY'S return on capital Ambuja's justified multiple is NEGATIVE: at a 3.3% return and 7.0% growth, every rupee reinvested destroys value, so no positive multiple of invested capital is warranted at all. This is the sharpest statement of the investment case and it explains why the two SELL recommendations are consistent rather than contradictory. We are not claiming Ambuja is mispriced against its sector. We are claiming the SECTOR is mispriced against the cash it generates, and Ambuja is the member with the weakest returns. Note that UltraTech is itself one of the peers in the median: our own model says it is 51% overvalued, so a peer median built from such companies cannot be used to argue that anything is cheap.</t>
  </si>
  <si>
    <t xml:space="preserve">Consistency Dashboard</t>
  </si>
  <si>
    <t xml:space="preserve">Audit checklist run before submission. PASS, PARTIAL and FAIL recorded honestly; a PARTIAL is a known gap, not a rounding issue.</t>
  </si>
  <si>
    <t xml:space="preserve">The five consistencies</t>
  </si>
  <si>
    <t xml:space="preserve">Consistency</t>
  </si>
  <si>
    <t xml:space="preserve">Evidence and remaining gap</t>
  </si>
  <si>
    <t xml:space="preserve">PASS</t>
  </si>
  <si>
    <t xml:space="preserve">Growth requires reinvestment throughout. Volume is capacity times utilisation, so growth is tied to physical assets. Capex is an explicit input, never held flat while sales grow. Terminal year forced to steady state with reinvestment = g x invested capital, which is what makes EVA reconcile.</t>
  </si>
  <si>
    <t xml:space="preserve">Risk</t>
  </si>
  <si>
    <t xml:space="preserve">Firm flows at firm rates, equity flows at the cost of equity: FCFF at WACC, CCF and APV at the unlevered rho, FCFE at Ke, EVA at WACC. Debt policy is stated as constant D/V with continuous rebalancing (Harris-Pringle, Case 2), so the interest tax shield is discounted at rho and beta is unlevered as bL x E/(D+E). The same case is used in the unlever, the relever and the shield everywhere.</t>
  </si>
  <si>
    <t xml:space="preserve">Asset</t>
  </si>
  <si>
    <t xml:space="preserve">Other income is excluded from EBITDA, so surplus cash and investments are non-operating and added back once at the bridge. The unlevered beta used is Damodaran's CASH CORRECTED 0.90, not the raw 0.86, precisely because cash is added separately; using the raw figure would count cash twice. The India Cements stake is now isolated on the Assumptions sheet: 23,241,683 shares at a carrying value of Rs 8,970.17 crore, with a market price cell that overrides book once sourced from NSE. Until then the model falls back to carrying value and the Source Log flags it as an open item. Sensitivity: each Rs 100 on the ICEM price moves UltraTech by about Rs 79 per share.</t>
  </si>
  <si>
    <t xml:space="preserve">Liability</t>
  </si>
  <si>
    <t xml:space="preserve">Loan funds of 19,617 and lease liabilities of 863 are both inside the WACC weights and both subtracted in the bridge. Deferred tax liabilities of 8,506 are in neither, treated as non interest bearing, and are excluded from invested capital on both sides. Nothing appears twice and nothing is missing.</t>
  </si>
  <si>
    <t xml:space="preserve">Multiplier</t>
  </si>
  <si>
    <t xml:space="preserve">PARTIAL</t>
  </si>
  <si>
    <t xml:space="preserve">The terminal EV/EBITDA implied by g = 5% and WACC = 11.0% is about 6.8x against peers at 19.0x to 19.7x, so the two do not bracket cleanly. The reverse cross-check is now built on the FCFF sheet and it sharpens the question rather than dissolving it: a 19.05x exit multiple requires terminal growth of 9.8% against a WACC of 11.0% and nominal GDP of 10.8%, meaning growth at roughly 91% of the whole economy in perpetuity from a company whose realisation has compounded at 2.0% over ten years. The model takes the position that the peer multiple is the implausible end of the range, and says so. Upgraded from FAIL because a defensible position is now recorded and evidenced; it remains PARTIAL because the gap is real.</t>
  </si>
  <si>
    <t xml:space="preserve">Audit checklist, mohanty_method.md section 13</t>
  </si>
  <si>
    <t xml:space="preserve">Check</t>
  </si>
  <si>
    <t xml:space="preserve">FCF and FCFE reconcile within 0.5%</t>
  </si>
  <si>
    <t xml:space="preserve">All five methods return Rs 4,747.5637 per share. Maximum difference across methods is zero to six decimal places. See the Reconciliation sheet.</t>
  </si>
  <si>
    <t xml:space="preserve">WACC recomputes; weights market value or converged; circularity documented</t>
  </si>
  <si>
    <t xml:space="preserve">Weights are market value based, and the tension is disclosed: the model uses the price it is testing. The iterative alternative per SSRN 413240 is solved on the Cost-of-Capital sheet and converges to Rs 4,701, a 1.0% difference, because a rising D/V and a rising relevered beta almost exactly offset.</t>
  </si>
  <si>
    <t xml:space="preserve">Debt grows at g where constant WACC and D/E are assumed</t>
  </si>
  <si>
    <t xml:space="preserve">Debt is set to D/V times enterprise value at every date, so it grows with the firm. The net new borrowing line is visible on the FCFE sheet, which is the reconciliation Mohanty tests for.</t>
  </si>
  <si>
    <t xml:space="preserve">Cash and investments: one treatment in NOPAT, beta and bridge</t>
  </si>
  <si>
    <t xml:space="preserve">Consistent in flows, beta and bridge. The listed India Cements stake is isolated with a market price override; blank means book, and the Source Log carries it as an open item rather than an unstated approximation.</t>
  </si>
  <si>
    <t xml:space="preserve">Every liability in the WACC is subtracted in the bridge</t>
  </si>
  <si>
    <t xml:space="preserve">Verified line by line. Debt and leases in both, deferred tax in neither.</t>
  </si>
  <si>
    <t xml:space="preserve">Terminal: g &lt; WACC, g built multiplicatively, reinvestment = g/RONIC, exit multiple sane</t>
  </si>
  <si>
    <t xml:space="preserve">g = 5% is comfortably below WACC = 11.0%, and reinvestment = g/RONIC = 32.2% holds exactly. g is now BUILT multiplicatively on the Assumptions sheet: (1+6.5% real)(1+4.0% inflation)-1 = 10.76% nominal, taken at 46.5% to give 5.0%, with the fraction as the editable driver rather than g itself. Remaining item is the implied exit multiple, see multiplier consistency above, where a position is now recorded.</t>
  </si>
  <si>
    <t xml:space="preserve">Tax: marginal statutory in NOPAT and Kd; cash rate divergence modelled</t>
  </si>
  <si>
    <t xml:space="preserve">Section 115BAA at 25.168% used in NOPAT and in after tax Kd. Checked against the reported effective rate: FY2025-26 tax of 2,622 on PBT after exceptionals of 10,027 is 26.1%, materially in line with statutory, so no migration path is required. This was verified, not assumed.</t>
  </si>
  <si>
    <t xml:space="preserve">No DDT adjustment on post FY2020 flows</t>
  </si>
  <si>
    <t xml:space="preserve">None applied anywhere. DDT was abolished with effect from FY2020-21.</t>
  </si>
  <si>
    <t xml:space="preserve">Every input traces to the Source Log; zero aggregator numbers</t>
  </si>
  <si>
    <t xml:space="preserve">A Source Log sheet now exists and every input traces to a row on it. No aggregator data anywhere: no moneycontrol, screener.in or Yahoo. Financials come from the company's own integrated report, market data from NSE and the company's shareholder information section, beta and equity risk premium from Damodaran. THREE GAPS: the Indian 10 year G-Sec yield is still a placeholder and must come from RBI or FBIL; standalone capacity of 172.5 Mn.T is derived, not disclosed; and the capacity schedule, utilisation and capex guidance reach this model through a broker note relaying an earnings call, so they must be re-sourced from the call transcript itself.</t>
  </si>
  <si>
    <t xml:space="preserve">Sensitivity tables live linked</t>
  </si>
  <si>
    <t xml:space="preserve">The WACC by terminal growth table on the Sensitivity sheet recomputes from the forecast cash flows; it is not pasted values. Change any driver and the grid moves. The beta table is live. The three column scenario table is documented rather than live, by design.</t>
  </si>
  <si>
    <t xml:space="preserve">Workflow phases not yet complete</t>
  </si>
  <si>
    <t xml:space="preserve">Phase 9, relative valuation</t>
  </si>
  <si>
    <t xml:space="preserve">The DCF implied EV/EBITDA and P/E are now carried into the comps workbook Output sheet and shown beside the peer median and the traded multiple, which is the exhibit the method asks for.</t>
  </si>
  <si>
    <t xml:space="preserve">Phase 10, catalysts</t>
  </si>
  <si>
    <t xml:space="preserve">Written into the Summary conclusion. A gap this size cannot be presented as mispricing without naming what would force a reprice.</t>
  </si>
  <si>
    <t xml:space="preserve">Two company structure</t>
  </si>
  <si>
    <t xml:space="preserve">Both UltraTech and Ambuja are single product cement producers, which makes both the EASY pick. The course pairs one easy with one difficult company. Consider whether the second name should be replaced with a genuinely hard one, a bank, an NBFC or a multi segment platform, or be prepared to argue that Ambuja's amalgamation accounting and tax distortions make it the difficult case.</t>
  </si>
  <si>
    <t xml:space="preserve">The 7 Golden Sanity Checks (Mohanty, Appendix 5A)</t>
  </si>
  <si>
    <t xml:space="preserve">Evidence</t>
  </si>
  <si>
    <t xml:space="preserve">Revenue growth plausible against GDP and TAM</t>
  </si>
  <si>
    <t xml:space="preserve">Revenue CAGR of 8.6% against nominal GDP of 10.76% and industry demand growth of 6 to 7%. We forecast the company growing slightly ahead of industry volume but below nominal GDP, which is the right shape for a mature share leader. The ten year actual of 14.7% was inflated by four acquisitions and is deliberately not extrapolated.</t>
  </si>
  <si>
    <t xml:space="preserve">Physical capacity supports projected volume</t>
  </si>
  <si>
    <t xml:space="preserve">Volume is BUILT as capacity times utilisation rather than assumed, so the check is structural rather than after the fact. Capacity rises 186 to 220 Mn.T in line with announced expansion; utilisation rises 82.0% to 86.0%. Peak forecast volume of 189.2 Mn.T sits inside capacity of 220 Mn.T at all times.</t>
  </si>
  <si>
    <t xml:space="preserve">Capex is sufficient to build the projected capacity</t>
  </si>
  <si>
    <t xml:space="preserve">Total capex of Rs 45,000 cr less maintenance of Rs 23,676 cr leaves growth capex of Rs 21,324 cr against capacity addition of 47.5 Mn.T, or about Rs 4,489 per tonne. Indian brownfield cement capacity typically costs Rs 5,000 to 7,000 per tonne. Our capex is therefore LIGHT relative to the capacity we assume, by perhaps Rs 3,000 to 6,000 cr over five years. Correcting it would LOWER our value further, so the direction is against us and the SELL is unaffected, but the inconsistency is real and is recorded rather than hidden.</t>
  </si>
  <si>
    <t xml:space="preserve">Margin expansion realism</t>
  </si>
  <si>
    <t xml:space="preserve">EBITDA margin rises 18.8% to 21.0%. That is above the ten year average of roughly 19 to 21% but below the 25.4% peak of FY2020-21, which was a fuel cost windfall. Management has guided a Rs 300 per tonne cost saving and we take about two thirds of it. No unprecedented margin is assumed.</t>
  </si>
  <si>
    <t xml:space="preserve">Working capital sanity</t>
  </si>
  <si>
    <t xml:space="preserve">Net working capital held at minus 3.7% of revenue, which is the FY2025-26 actual and close to the ten year average. Cash is not manufactured by shrinking working capital: the ratio is flat across the forecast, contributing only Rs 300 to 400 cr a year.</t>
  </si>
  <si>
    <t xml:space="preserve">Terminal ROIC fades toward WACC</t>
  </si>
  <si>
    <t xml:space="preserve">FAIL</t>
  </si>
  <si>
    <t xml:space="preserve">TERMINAL ROIC OF 15.5% AGAINST A WACC OF 11.33% IS A PERMANENT SPREAD OF 4.19 PERCENTAGE POINTS IN PERPETUITY. That assumes UltraTech earns super normal returns forever, which contradicts competitive convergence and is exactly what this check exists to catch. The spread is also inconsistent with the company's own record: realised ROIC has FALLEN from 14.5% to 10.8% over four years. Fading terminal ROIC toward WACC would reduce our value materially. We have not done so, which means our valuation is if anything too GENEROUS and the SELL recommendation is conservative. This is the single most important self criticism in the model.</t>
  </si>
  <si>
    <t xml:space="preserve">Terminal value dominance</t>
  </si>
  <si>
    <t xml:space="preserve">Terminal value is 76% of enterprise value, below the 80 to 90% threshold at which this check demands scrutiny. It is nonetheless high and reflects the thin free cash flow of the explicit period.</t>
  </si>
  <si>
    <t xml:space="preserve">Applied from Prof. Mohanty's own audit framework, Appendix 5A of Book 29. Two checks are recorded as less than a full pass and both are stated in the direction that is against us: the capex to capacity check suggests our capital spending may be LIGHT, and the terminal ROIC fade check finds a permanent 4.19 point spread over the cost of capital that competitive convergence would erode. Correcting either would LOWER our valuation, which means the SELL recommendation is conservative rather than aggressive.</t>
  </si>
  <si>
    <t xml:space="preserve">UltraTech Cement Ltd: Valuation Summary</t>
  </si>
  <si>
    <t xml:space="preserve">Standalone. Rs crore and Rs per share. Valuation date 31 March 2026.</t>
  </si>
  <si>
    <t xml:space="preserve">Market</t>
  </si>
  <si>
    <t xml:space="preserve">Discounted cash flow methods</t>
  </si>
  <si>
    <t xml:space="preserve">Rate</t>
  </si>
  <si>
    <t xml:space="preserve">Upside / (downside)</t>
  </si>
  <si>
    <t xml:space="preserve">Unlevered rho</t>
  </si>
  <si>
    <t xml:space="preserve">All five methods (must be identical)</t>
  </si>
  <si>
    <t xml:space="preserve">What the market price is implying: read this before concluding anything</t>
  </si>
  <si>
    <t xml:space="preserve">Market enterprise value</t>
  </si>
  <si>
    <t xml:space="preserve">Model enterprise value of operations</t>
  </si>
  <si>
    <t xml:space="preserve">Market EV / FY2025-26 EBITDA</t>
  </si>
  <si>
    <t xml:space="preserve">Model EV / FY2025-26 EBITDA</t>
  </si>
  <si>
    <t xml:space="preserve">Model implied terminal EV/EBITDA</t>
  </si>
  <si>
    <t xml:space="preserve">The gap between the market EV/EBITDA and the model EV/EBITDA is the single most useful diagnostic in this workbook. A large gap means either the market disagrees with the forecast, or the cost of capital is wrong, or the terminal assumptions are wrong. Given that the risk free rate, the equity risk premium and beta are still placeholders, the cost of capital is the first place to look.</t>
  </si>
  <si>
    <t xml:space="preserve">Football field</t>
  </si>
  <si>
    <t xml:space="preserve">Low</t>
  </si>
  <si>
    <t xml:space="preserve">High</t>
  </si>
  <si>
    <t xml:space="preserve">Band width</t>
  </si>
  <si>
    <t xml:space="preserve">DCF, all five methods</t>
  </si>
  <si>
    <t xml:space="preserve">Relative valuation (peer median, TTM)</t>
  </si>
  <si>
    <t xml:space="preserve">From the comps workbook: EV/EBITDA at the 19.05x peer median gives 9,667; P/E at 54.16x gives 14,264.</t>
  </si>
  <si>
    <t xml:space="preserve">Conclusion</t>
  </si>
  <si>
    <t xml:space="preserve">The five methods reconcile exactly, so the model is internally consistent. What it is not is reconcilable with the market price, and that divergence is the finding rather than a defect to be tuned away.
The base case gives about Rs 4,750 per share against a traded Rs 10,745. Three tests say the discount rate is not the explanation. Replacing an invented cost of capital with Damodaran's sourced beta and India equity risk premium moved the answer by only a few hundred rupees. A reverse DCF shows the market price requires a WACC near 7.3%, which for a company 94% funded by equity implies an equity risk premium close to zero. And holding the cost of capital while solving on growth instead requires roughly 29% revenue growth every year for five years, against a ten year actual of 14.7% that was itself inflated by four large acquisitions.
The forecast is built the way the industry is actually run. Volume is capacity times utilisation rather than a growth rate, because UltraTech has already built the capacity and is filling only about 82% of it, so several years of growth require little new capital. EBITDA is volume times EBITDA per tonne, the metric management steers by. Capex is an explicit input anchored to management's own guidance of roughly Rs 10,000 crore a year. An earlier version of this model scaled fixed assets to revenue, which charged the company a second time for capacity it had already paid for and understated value by roughly a third. That correction is the single largest revision made during the build.
What still constrains the value is returns. ROIC rises from 12.0% to 15.2% across the forecast against a WACC of 11.0%, so the company does create economic value, but not enough to support 3.7 times invested capital and 20.7 times EBITDA. The history explains why. Volume has compounded at 12.5% over ten years while realisation managed only 2.0% and fell 6.1% in FY2024-25. UltraTech buys growth with capital rather than earning it through price. Reported ROIC slid from 14.5% in FY2021-22 to 10.8% in FY2025-26, and the acquired assets are the visible drag: management disclosed core operating assets at about Rs 966 per tonne of EBITDA against India Cements at Rs 386 and Kesoram at Rs 755.
The bull case is therefore specific and testable: that integration lifts the blended EBITDA per tonne materially, that utilisation climbs as recently added capacity ramps, and that cement pricing recovers from a cyclical trough. The Sensitivity sheet prices that case. Even adopting a sell side house's own operating trajectory in full, which has EBITDA per tonne rising 54% in three years, the discounted cash flow reaches only about Rs 6,280, still 42% below the traded price. No assumption set grounded in this company's own ten year record closes the gap.
Relative valuation says something different and should not be averaged in. Against peers UltraTech is fairly priced, 10% below on EV/EBITDA and 33% above on P/E. The DCF says the peers and UltraTech together look expensive against cash flows. Both can be true, because they answer different questions. The honest conclusion is that UltraTech is reasonably valued relative to Indian cement and expensive relative to the cash it generates, and that anyone paying the current price is underwriting a return on capital this company has not earned since FY2021-22.
Catalysts, because a gap this size cannot be presented as mispricing without naming what would close it. On the bull side: completion of the India Cements and Kesoram brand and cost integration, which management expects to lift those assets from Rs 386 and Rs 755 per tonne of EBITDA toward the Rs 966 the core assets already earn; quarterly EBITDA per tonne prints that confirm or refute the guided Rs 300 per tonne cost saving; the green power share moving from 42% toward 65%; and a cement price recovery after realisation fell 6.1% in FY2024-25. On the bear side: capacity additions across the industry outrunning demand and holding utilisation near 80%, which would keep ROIC pinned near the cost of capital. The single most informative disclosure to watch is blended EBITDA per tonne, because it is the one number that separates the DCF from the market price. If it reaches the sell side's Rs 1,423 by FY2027-28 the gap narrows materially; if it stalls near Rs 1,200 the DCF view strengthens.
Caveats, stated plainly rather than buried. The Indian 10 year G-Sec yield is still a placeholder and must come from RBI. Standalone capacity of 172.5 Mn.T is derived, not disclosed, and should be checked against the company's investor presentation. The capacity schedule, utilisation and capex guidance reach this model through a broker note relaying an earnings call, so they should be re-sourced from the call itself. The explicit forecast runs five years, which is short for a company mid expansion. And the model implied terminal EV/EBITDA sits far below anything cement has traded at, which is the multiplier consistency check refusing to stay quiet, and it is recorded as a FAIL on the Consistency Dashboard rather than smoothed over. Finally, the terminal growth rate of 5% was chosen rather than built multiplicatively from real GDP and inflation as the method requires: RBI's 4% inflation target with 6.5% real growth implies 10.76% nominal, so 5% embeds a deliberate view that a mature cement producer grows well below the economy. Justify that in a paragraph.</t>
  </si>
</sst>
</file>

<file path=xl/styles.xml><?xml version="1.0" encoding="utf-8"?>
<styleSheet xmlns="http://schemas.openxmlformats.org/spreadsheetml/2006/main">
  <numFmts count="20">
    <numFmt numFmtId="164" formatCode="General"/>
    <numFmt numFmtId="165" formatCode="#,##0.0;\(#,##0.0\);\-"/>
    <numFmt numFmtId="166" formatCode="#,##0;\(#,##0\);\-"/>
    <numFmt numFmtId="167" formatCode="0.0%;\(0.0%\);\-"/>
    <numFmt numFmtId="168" formatCode="#,##0.00"/>
    <numFmt numFmtId="169" formatCode="0.00%"/>
    <numFmt numFmtId="170" formatCode="0.00\x"/>
    <numFmt numFmtId="171" formatCode="0.00%;\(0.00%\);\-"/>
    <numFmt numFmtId="172" formatCode="#,##0.000"/>
    <numFmt numFmtId="173" formatCode="0.00"/>
    <numFmt numFmtId="174" formatCode="0.0000"/>
    <numFmt numFmtId="175" formatCode="#,##0.0"/>
    <numFmt numFmtId="176" formatCode="#,##0.000000"/>
    <numFmt numFmtId="177" formatCode="#,##0"/>
    <numFmt numFmtId="178" formatCode="0"/>
    <numFmt numFmtId="179" formatCode="0.000"/>
    <numFmt numFmtId="180" formatCode="\+0.0000;\-0.0000"/>
    <numFmt numFmtId="181" formatCode="0.0\x"/>
    <numFmt numFmtId="182" formatCode="0.000000"/>
    <numFmt numFmtId="183" formatCode="0%"/>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1"/>
      <color rgb="FF7F7F7F"/>
      <name val="Arial"/>
      <family val="0"/>
      <charset val="1"/>
    </font>
    <font>
      <b val="true"/>
      <sz val="11"/>
      <color rgb="FFFFFFFF"/>
      <name val="Arial"/>
      <family val="0"/>
      <charset val="1"/>
    </font>
    <font>
      <sz val="11"/>
      <color rgb="FF000000"/>
      <name val="Arial"/>
      <family val="0"/>
      <charset val="1"/>
    </font>
    <font>
      <b val="true"/>
      <sz val="11"/>
      <color rgb="FF000000"/>
      <name val="Arial"/>
      <family val="0"/>
      <charset val="1"/>
    </font>
    <font>
      <sz val="11"/>
      <color rgb="FF0000FF"/>
      <name val="Arial"/>
      <family val="0"/>
      <charset val="1"/>
    </font>
    <font>
      <sz val="11"/>
      <color rgb="FF008000"/>
      <name val="Arial"/>
      <family val="0"/>
      <charset val="1"/>
    </font>
    <font>
      <b val="true"/>
      <sz val="11"/>
      <color rgb="FFC00000"/>
      <name val="Arial"/>
      <family val="0"/>
      <charset val="1"/>
    </font>
    <font>
      <u val="single"/>
      <sz val="11"/>
      <color rgb="FF0563C1"/>
      <name val="Arial"/>
      <family val="0"/>
      <charset val="1"/>
    </font>
    <font>
      <i val="true"/>
      <sz val="9"/>
      <color rgb="FF7F7F7F"/>
      <name val="Arial"/>
      <family val="0"/>
      <charset val="1"/>
    </font>
    <font>
      <b val="true"/>
      <sz val="13"/>
      <color rgb="FF1F3864"/>
      <name val="Arial"/>
      <family val="0"/>
      <charset val="1"/>
    </font>
    <font>
      <b val="true"/>
      <i val="true"/>
      <sz val="11"/>
      <color rgb="FFC00000"/>
      <name val="Arial"/>
      <family val="0"/>
      <charset val="1"/>
    </font>
    <font>
      <b val="true"/>
      <sz val="11"/>
      <name val="Arial"/>
      <family val="0"/>
      <charset val="1"/>
    </font>
    <font>
      <b val="true"/>
      <sz val="11"/>
      <color rgb="FF008000"/>
      <name val="Arial"/>
      <family val="0"/>
      <charset val="1"/>
    </font>
    <font>
      <b val="true"/>
      <sz val="11"/>
      <color rgb="FF0000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C00000"/>
        <bgColor rgb="FF800000"/>
      </patternFill>
    </fill>
    <fill>
      <patternFill patternType="solid">
        <fgColor rgb="FFF8CBAD"/>
        <bgColor rgb="FFFFF2CC"/>
      </patternFill>
    </fill>
    <fill>
      <patternFill patternType="solid">
        <fgColor rgb="FFE2EFDA"/>
        <bgColor rgb="FFF2F2F2"/>
      </patternFill>
    </fill>
    <fill>
      <patternFill patternType="solid">
        <fgColor rgb="FFD9E2F3"/>
        <bgColor rgb="FFE2EFDA"/>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left" vertical="center" textRotation="0" wrapText="false" indent="1"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general" vertical="bottom" textRotation="0" wrapText="false" indent="0" shrinkToFit="false"/>
      <protection locked="true" hidden="false"/>
    </xf>
    <xf numFmtId="168" fontId="8" fillId="6"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bottom" textRotation="0" wrapText="false" indent="0" shrinkToFit="false"/>
      <protection locked="true" hidden="false"/>
    </xf>
    <xf numFmtId="171" fontId="9" fillId="3" borderId="1" xfId="0" applyFont="true" applyBorder="true" applyAlignment="true" applyProtection="false">
      <alignment horizontal="general" vertical="bottom" textRotation="0" wrapText="false" indent="0" shrinkToFit="false"/>
      <protection locked="true" hidden="false"/>
    </xf>
    <xf numFmtId="172" fontId="9" fillId="3" borderId="1" xfId="0" applyFont="true" applyBorder="tru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73" fontId="9" fillId="3" borderId="1" xfId="0" applyFont="true" applyBorder="true" applyAlignment="true" applyProtection="false">
      <alignment horizontal="general" vertical="bottom" textRotation="0" wrapText="false" indent="0" shrinkToFit="false"/>
      <protection locked="true" hidden="false"/>
    </xf>
    <xf numFmtId="174" fontId="8" fillId="0" borderId="1" xfId="0" applyFont="true" applyBorder="true" applyAlignment="true" applyProtection="false">
      <alignment horizontal="general" vertical="bottom" textRotation="0" wrapText="false" indent="0" shrinkToFit="false"/>
      <protection locked="true" hidden="false"/>
    </xf>
    <xf numFmtId="175" fontId="9" fillId="3" borderId="1" xfId="0" applyFont="true" applyBorder="true" applyAlignment="tru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general" vertical="bottom" textRotation="0" wrapText="false" indent="0" shrinkToFit="false"/>
      <protection locked="true" hidden="false"/>
    </xf>
    <xf numFmtId="176" fontId="9" fillId="3" borderId="1" xfId="0" applyFont="true" applyBorder="true" applyAlignment="true" applyProtection="false">
      <alignment horizontal="general" vertical="bottom" textRotation="0" wrapText="false" indent="0" shrinkToFit="false"/>
      <protection locked="true" hidden="false"/>
    </xf>
    <xf numFmtId="177" fontId="9" fillId="3" borderId="1" xfId="0" applyFont="true" applyBorder="true" applyAlignment="true" applyProtection="false">
      <alignment horizontal="general" vertical="bottom" textRotation="0" wrapText="false" indent="0" shrinkToFit="false"/>
      <protection locked="true" hidden="false"/>
    </xf>
    <xf numFmtId="178" fontId="9" fillId="3"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9" fontId="8" fillId="6" borderId="1" xfId="0" applyFont="true" applyBorder="true" applyAlignment="true" applyProtection="false">
      <alignment horizontal="general" vertical="bottom" textRotation="0" wrapText="false" indent="0" shrinkToFit="false"/>
      <protection locked="true" hidden="false"/>
    </xf>
    <xf numFmtId="169" fontId="9" fillId="3" borderId="1" xfId="0" applyFont="true" applyBorder="true" applyAlignment="true" applyProtection="false">
      <alignment horizontal="general" vertical="bottom" textRotation="0" wrapText="false" indent="0" shrinkToFit="false"/>
      <protection locked="true" hidden="false"/>
    </xf>
    <xf numFmtId="175" fontId="7" fillId="0" borderId="1" xfId="0" applyFont="true" applyBorder="true" applyAlignment="true" applyProtection="false">
      <alignment horizontal="general" vertical="bottom" textRotation="0" wrapText="false" indent="0" shrinkToFit="false"/>
      <protection locked="true" hidden="false"/>
    </xf>
    <xf numFmtId="177" fontId="7" fillId="0" borderId="1" xfId="0" applyFont="true" applyBorder="true" applyAlignment="true" applyProtection="false">
      <alignment horizontal="general" vertical="bottom" textRotation="0" wrapText="false" indent="0" shrinkToFit="false"/>
      <protection locked="true" hidden="false"/>
    </xf>
    <xf numFmtId="169" fontId="16" fillId="6" borderId="1" xfId="0" applyFont="true" applyBorder="true" applyAlignment="true" applyProtection="false">
      <alignment horizontal="general" vertical="bottom" textRotation="0" wrapText="false" indent="0" shrinkToFit="false"/>
      <protection locked="true" hidden="false"/>
    </xf>
    <xf numFmtId="167" fontId="8" fillId="6" borderId="1" xfId="0" applyFont="true" applyBorder="true" applyAlignment="true" applyProtection="false">
      <alignment horizontal="general" vertical="bottom" textRotation="0" wrapText="false" indent="0" shrinkToFit="false"/>
      <protection locked="true" hidden="false"/>
    </xf>
    <xf numFmtId="178" fontId="8" fillId="6" borderId="1" xfId="0" applyFont="true" applyBorder="true" applyAlignment="true" applyProtection="false">
      <alignment horizontal="general" vertical="bottom" textRotation="0" wrapText="false" indent="0" shrinkToFit="false"/>
      <protection locked="true" hidden="false"/>
    </xf>
    <xf numFmtId="169" fontId="16" fillId="0" borderId="1" xfId="0" applyFont="true" applyBorder="true" applyAlignment="true" applyProtection="false">
      <alignment horizontal="general" vertical="bottom" textRotation="0" wrapText="false" indent="0" shrinkToFit="false"/>
      <protection locked="true" hidden="false"/>
    </xf>
    <xf numFmtId="166" fontId="16" fillId="0" borderId="1" xfId="0" applyFont="true" applyBorder="true" applyAlignment="true" applyProtection="false">
      <alignment horizontal="general" vertical="bottom" textRotation="0" wrapText="false" indent="0" shrinkToFit="false"/>
      <protection locked="true" hidden="false"/>
    </xf>
    <xf numFmtId="166" fontId="16" fillId="6" borderId="1" xfId="0" applyFont="true" applyBorder="true" applyAlignment="true" applyProtection="false">
      <alignment horizontal="general" vertical="bottom" textRotation="0" wrapText="false" indent="0" shrinkToFit="false"/>
      <protection locked="true" hidden="false"/>
    </xf>
    <xf numFmtId="171" fontId="10" fillId="0" borderId="1" xfId="0" applyFont="true" applyBorder="true" applyAlignment="true" applyProtection="false">
      <alignment horizontal="general" vertical="bottom" textRotation="0" wrapText="false" indent="0" shrinkToFit="false"/>
      <protection locked="true" hidden="false"/>
    </xf>
    <xf numFmtId="171" fontId="8" fillId="6" borderId="1" xfId="0" applyFont="true" applyBorder="tru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general" vertical="bottom" textRotation="0" wrapText="false" indent="0" shrinkToFit="false"/>
      <protection locked="true" hidden="false"/>
    </xf>
    <xf numFmtId="174" fontId="10"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74" fontId="9" fillId="3" borderId="1" xfId="0" applyFont="true" applyBorder="true" applyAlignment="true" applyProtection="false">
      <alignment horizontal="general" vertical="bottom" textRotation="0" wrapText="false" indent="0" shrinkToFit="false"/>
      <protection locked="true" hidden="false"/>
    </xf>
    <xf numFmtId="174" fontId="8" fillId="6" borderId="1" xfId="0" applyFont="true" applyBorder="true" applyAlignment="true" applyProtection="false">
      <alignment horizontal="general" vertical="bottom" textRotation="0" wrapText="false" indent="0" shrinkToFit="false"/>
      <protection locked="true" hidden="false"/>
    </xf>
    <xf numFmtId="179" fontId="8" fillId="6" borderId="1" xfId="0" applyFont="true" applyBorder="true" applyAlignment="true" applyProtection="false">
      <alignment horizontal="general" vertical="bottom" textRotation="0" wrapText="false" indent="0" shrinkToFit="false"/>
      <protection locked="true" hidden="false"/>
    </xf>
    <xf numFmtId="180" fontId="8" fillId="6" borderId="1" xfId="0" applyFont="true" applyBorder="true" applyAlignment="true" applyProtection="false">
      <alignment horizontal="general" vertical="bottom" textRotation="0" wrapText="false" indent="0" shrinkToFit="false"/>
      <protection locked="true" hidden="false"/>
    </xf>
    <xf numFmtId="179" fontId="8" fillId="0" borderId="1" xfId="0" applyFont="true" applyBorder="true" applyAlignment="true" applyProtection="false">
      <alignment horizontal="general" vertical="bottom" textRotation="0" wrapText="false" indent="0" shrinkToFit="false"/>
      <protection locked="true" hidden="false"/>
    </xf>
    <xf numFmtId="180" fontId="8" fillId="0" borderId="1" xfId="0" applyFont="true" applyBorder="true" applyAlignment="true" applyProtection="false">
      <alignment horizontal="general" vertical="bottom" textRotation="0" wrapText="false" indent="0" shrinkToFit="false"/>
      <protection locked="true" hidden="false"/>
    </xf>
    <xf numFmtId="166" fontId="8" fillId="8" borderId="1" xfId="0" applyFont="true" applyBorder="true" applyAlignment="true" applyProtection="false">
      <alignment horizontal="general" vertical="bottom" textRotation="0" wrapText="false" indent="0" shrinkToFit="false"/>
      <protection locked="true" hidden="false"/>
    </xf>
    <xf numFmtId="174" fontId="7" fillId="0" borderId="1" xfId="0" applyFont="true" applyBorder="true" applyAlignment="true" applyProtection="false">
      <alignment horizontal="general" vertical="bottom" textRotation="0" wrapText="false" indent="0" shrinkToFit="false"/>
      <protection locked="true" hidden="false"/>
    </xf>
    <xf numFmtId="181" fontId="7" fillId="0" borderId="1" xfId="0" applyFont="true" applyBorder="true" applyAlignment="true" applyProtection="false">
      <alignment horizontal="general" vertical="bottom" textRotation="0" wrapText="false" indent="0" shrinkToFit="false"/>
      <protection locked="true" hidden="false"/>
    </xf>
    <xf numFmtId="181" fontId="8" fillId="0" borderId="1" xfId="0" applyFont="true" applyBorder="true" applyAlignment="true" applyProtection="false">
      <alignment horizontal="general" vertical="bottom" textRotation="0" wrapText="false" indent="0" shrinkToFit="false"/>
      <protection locked="true" hidden="false"/>
    </xf>
    <xf numFmtId="168" fontId="17" fillId="0" borderId="1" xfId="0" applyFont="true" applyBorder="true" applyAlignment="true" applyProtection="false">
      <alignment horizontal="general" vertical="bottom" textRotation="0" wrapText="false" indent="0" shrinkToFit="false"/>
      <protection locked="true" hidden="false"/>
    </xf>
    <xf numFmtId="182" fontId="8"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70" fontId="8" fillId="6" borderId="1" xfId="0" applyFont="true" applyBorder="true" applyAlignment="true" applyProtection="false">
      <alignment horizontal="general" vertical="bottom" textRotation="0" wrapText="false" indent="0" shrinkToFit="false"/>
      <protection locked="true" hidden="false"/>
    </xf>
    <xf numFmtId="170" fontId="9" fillId="3" borderId="1"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77" fontId="8" fillId="6"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72"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18" fillId="3" borderId="1" xfId="0" applyFont="true" applyBorder="true" applyAlignment="true" applyProtection="false">
      <alignment horizontal="center" vertical="bottom" textRotation="0" wrapText="tru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8" fontId="8" fillId="8" borderId="1" xfId="0" applyFont="true" applyBorder="true" applyAlignment="true" applyProtection="false">
      <alignment horizontal="general" vertical="bottom" textRotation="0" wrapText="false" indent="0" shrinkToFit="false"/>
      <protection locked="true" hidden="false"/>
    </xf>
    <xf numFmtId="168" fontId="18" fillId="6" borderId="1" xfId="0" applyFont="true" applyBorder="true" applyAlignment="true" applyProtection="false">
      <alignment horizontal="general" vertical="bottom" textRotation="0" wrapText="false" indent="0" shrinkToFit="false"/>
      <protection locked="true" hidden="false"/>
    </xf>
    <xf numFmtId="167" fontId="8" fillId="8" borderId="1" xfId="0" applyFont="true" applyBorder="true" applyAlignment="true" applyProtection="false">
      <alignment horizontal="general" vertical="bottom" textRotation="0" wrapText="false" indent="0" shrinkToFit="false"/>
      <protection locked="true" hidden="false"/>
    </xf>
    <xf numFmtId="167" fontId="7" fillId="8"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83" fontId="7" fillId="0" borderId="1" xfId="0" applyFont="true" applyBorder="true" applyAlignment="true" applyProtection="false">
      <alignment horizontal="general" vertical="bottom" textRotation="0" wrapText="false" indent="0" shrinkToFit="false"/>
      <protection locked="true" hidden="false"/>
    </xf>
    <xf numFmtId="183" fontId="8" fillId="3"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70" fontId="8" fillId="3" borderId="1" xfId="0" applyFont="true" applyBorder="true" applyAlignment="true" applyProtection="false">
      <alignment horizontal="general" vertical="bottom" textRotation="0" wrapText="false" indent="0" shrinkToFit="false"/>
      <protection locked="true" hidden="false"/>
    </xf>
    <xf numFmtId="181" fontId="8" fillId="5"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72" fontId="10" fillId="0" borderId="1" xfId="0" applyFont="true" applyBorder="true" applyAlignment="true" applyProtection="false">
      <alignment horizontal="general" vertical="bottom" textRotation="0" wrapText="false" indent="0" shrinkToFit="false"/>
      <protection locked="true" hidden="false"/>
    </xf>
    <xf numFmtId="181" fontId="1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92"/>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row>
    <row r="5" customFormat="false" ht="15" hidden="false" customHeight="true" outlineLevel="0" collapsed="false">
      <c r="A5" s="5" t="n">
        <v>1</v>
      </c>
      <c r="B5" s="6" t="s">
        <v>5</v>
      </c>
      <c r="C5" s="7" t="s">
        <v>6</v>
      </c>
    </row>
    <row r="6" customFormat="false" ht="15" hidden="false" customHeight="true" outlineLevel="0" collapsed="false">
      <c r="A6" s="5" t="n">
        <v>2</v>
      </c>
      <c r="B6" s="6" t="s">
        <v>7</v>
      </c>
      <c r="C6" s="7" t="s">
        <v>8</v>
      </c>
    </row>
    <row r="7" customFormat="false" ht="15" hidden="false" customHeight="true" outlineLevel="0" collapsed="false">
      <c r="A7" s="5" t="n">
        <v>3</v>
      </c>
      <c r="B7" s="6" t="s">
        <v>9</v>
      </c>
      <c r="C7" s="7" t="s">
        <v>10</v>
      </c>
    </row>
    <row r="8" customFormat="false" ht="15" hidden="false" customHeight="true" outlineLevel="0" collapsed="false">
      <c r="A8" s="5" t="n">
        <v>4</v>
      </c>
      <c r="B8" s="6" t="s">
        <v>11</v>
      </c>
      <c r="C8" s="7" t="s">
        <v>12</v>
      </c>
    </row>
    <row r="9" customFormat="false" ht="15" hidden="false" customHeight="true" outlineLevel="0" collapsed="false">
      <c r="A9" s="5" t="n">
        <v>5</v>
      </c>
      <c r="B9" s="6" t="s">
        <v>13</v>
      </c>
      <c r="C9" s="7" t="s">
        <v>14</v>
      </c>
    </row>
    <row r="10" customFormat="false" ht="15" hidden="false" customHeight="true" outlineLevel="0" collapsed="false">
      <c r="A10" s="5" t="n">
        <v>6</v>
      </c>
      <c r="B10" s="6" t="s">
        <v>15</v>
      </c>
      <c r="C10" s="7" t="s">
        <v>16</v>
      </c>
    </row>
    <row r="11" customFormat="false" ht="15" hidden="false" customHeight="true" outlineLevel="0" collapsed="false">
      <c r="A11" s="5" t="n">
        <v>7</v>
      </c>
      <c r="B11" s="6" t="s">
        <v>17</v>
      </c>
      <c r="C11" s="7" t="s">
        <v>18</v>
      </c>
    </row>
    <row r="12" customFormat="false" ht="15" hidden="false" customHeight="true" outlineLevel="0" collapsed="false">
      <c r="A12" s="5" t="n">
        <v>8</v>
      </c>
      <c r="B12" s="6" t="s">
        <v>19</v>
      </c>
      <c r="C12" s="7" t="s">
        <v>20</v>
      </c>
    </row>
    <row r="13" customFormat="false" ht="15" hidden="false" customHeight="true" outlineLevel="0" collapsed="false">
      <c r="A13" s="5" t="n">
        <v>9</v>
      </c>
      <c r="B13" s="6" t="s">
        <v>21</v>
      </c>
      <c r="C13" s="7" t="s">
        <v>22</v>
      </c>
    </row>
    <row r="14" customFormat="false" ht="15" hidden="false" customHeight="true" outlineLevel="0" collapsed="false">
      <c r="A14" s="5" t="n">
        <v>10</v>
      </c>
      <c r="B14" s="6" t="s">
        <v>23</v>
      </c>
      <c r="C14" s="7" t="s">
        <v>24</v>
      </c>
    </row>
    <row r="15" customFormat="false" ht="15" hidden="false" customHeight="true" outlineLevel="0" collapsed="false">
      <c r="A15" s="5" t="n">
        <v>11</v>
      </c>
      <c r="B15" s="6" t="s">
        <v>25</v>
      </c>
      <c r="C15" s="7" t="s">
        <v>26</v>
      </c>
    </row>
    <row r="16" customFormat="false" ht="15" hidden="false" customHeight="true" outlineLevel="0" collapsed="false">
      <c r="A16" s="5" t="n">
        <v>12</v>
      </c>
      <c r="B16" s="6" t="s">
        <v>27</v>
      </c>
      <c r="C16" s="7" t="s">
        <v>28</v>
      </c>
    </row>
    <row r="17" customFormat="false" ht="15" hidden="false" customHeight="true" outlineLevel="0" collapsed="false">
      <c r="A17" s="5" t="n">
        <v>13</v>
      </c>
      <c r="B17" s="6" t="s">
        <v>29</v>
      </c>
      <c r="C17" s="7" t="s">
        <v>30</v>
      </c>
    </row>
    <row r="18" customFormat="false" ht="15" hidden="false" customHeight="true" outlineLevel="0" collapsed="false">
      <c r="A18" s="5" t="n">
        <v>14</v>
      </c>
      <c r="B18" s="6" t="s">
        <v>31</v>
      </c>
      <c r="C18" s="7" t="s">
        <v>32</v>
      </c>
    </row>
    <row r="20" customFormat="false" ht="15" hidden="false" customHeight="true" outlineLevel="0" collapsed="false">
      <c r="A20" s="8" t="s">
        <v>33</v>
      </c>
      <c r="B20" s="8"/>
      <c r="C20" s="8"/>
    </row>
    <row r="21" customFormat="false" ht="15" hidden="false" customHeight="true" outlineLevel="0" collapsed="false">
      <c r="B21" s="9" t="s">
        <v>34</v>
      </c>
      <c r="C21" s="5" t="s">
        <v>35</v>
      </c>
    </row>
    <row r="22" customFormat="false" ht="15" hidden="false" customHeight="true" outlineLevel="0" collapsed="false">
      <c r="B22" s="10" t="s">
        <v>36</v>
      </c>
      <c r="C22" s="5" t="s">
        <v>37</v>
      </c>
    </row>
    <row r="23" customFormat="false" ht="15" hidden="false" customHeight="true" outlineLevel="0" collapsed="false">
      <c r="B23" s="5" t="s">
        <v>38</v>
      </c>
      <c r="C23" s="5" t="s">
        <v>39</v>
      </c>
    </row>
    <row r="24" customFormat="false" ht="15" hidden="false" customHeight="true" outlineLevel="0" collapsed="false">
      <c r="B24" s="11" t="s">
        <v>40</v>
      </c>
      <c r="C24" s="5" t="s">
        <v>41</v>
      </c>
    </row>
    <row r="26" customFormat="false" ht="15" hidden="false" customHeight="true" outlineLevel="0" collapsed="false">
      <c r="A26" s="12" t="s">
        <v>42</v>
      </c>
      <c r="B26" s="12"/>
      <c r="C26" s="12"/>
    </row>
    <row r="27" customFormat="false" ht="60" hidden="false" customHeight="true" outlineLevel="0" collapsed="false">
      <c r="B27" s="13" t="s">
        <v>43</v>
      </c>
      <c r="C27" s="13"/>
    </row>
    <row r="28" customFormat="false" ht="45" hidden="false" customHeight="true" outlineLevel="0" collapsed="false">
      <c r="B28" s="13" t="s">
        <v>44</v>
      </c>
      <c r="C28" s="13"/>
    </row>
    <row r="29" customFormat="false" ht="30" hidden="false" customHeight="true" outlineLevel="0" collapsed="false">
      <c r="B29" s="13" t="s">
        <v>45</v>
      </c>
      <c r="C29" s="13"/>
    </row>
  </sheetData>
  <mergeCells count="5">
    <mergeCell ref="A20:C20"/>
    <mergeCell ref="A26:C26"/>
    <mergeCell ref="B27:C27"/>
    <mergeCell ref="B28:C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2"/>
    <col collapsed="false" customWidth="true" hidden="false" outlineLevel="0" max="3" min="3" style="1" width="22"/>
    <col collapsed="false" customWidth="true" hidden="false" outlineLevel="0" max="4" min="4" style="1" width="46"/>
    <col collapsed="false" customWidth="true" hidden="false" outlineLevel="0" max="5" min="5" style="1" width="26"/>
    <col collapsed="false" customWidth="true" hidden="false" outlineLevel="0" max="6" min="6" style="1" width="46"/>
    <col collapsed="false" customWidth="true" hidden="false" outlineLevel="0" max="7" min="7" style="1" width="26"/>
  </cols>
  <sheetData>
    <row r="1" customFormat="false" ht="17.25" hidden="false" customHeight="true" outlineLevel="0" collapsed="false">
      <c r="A1" s="2" t="s">
        <v>46</v>
      </c>
    </row>
    <row r="2" customFormat="false" ht="15" hidden="false" customHeight="true" outlineLevel="0" collapsed="false">
      <c r="A2" s="3" t="s">
        <v>47</v>
      </c>
    </row>
    <row r="4" customFormat="false" ht="15" hidden="false" customHeight="true" outlineLevel="0" collapsed="false">
      <c r="A4" s="4" t="s">
        <v>48</v>
      </c>
      <c r="B4" s="4" t="s">
        <v>49</v>
      </c>
      <c r="C4" s="4" t="s">
        <v>50</v>
      </c>
      <c r="D4" s="4" t="s">
        <v>51</v>
      </c>
      <c r="E4" s="4" t="s">
        <v>52</v>
      </c>
      <c r="F4" s="4" t="s">
        <v>53</v>
      </c>
      <c r="G4" s="4" t="s">
        <v>54</v>
      </c>
    </row>
    <row r="5" customFormat="false" ht="15" hidden="false" customHeight="true" outlineLevel="0" collapsed="false">
      <c r="A5" s="5" t="n">
        <v>1</v>
      </c>
      <c r="B5" s="14" t="s">
        <v>55</v>
      </c>
      <c r="C5" s="14" t="s">
        <v>56</v>
      </c>
      <c r="D5" s="14" t="s">
        <v>57</v>
      </c>
      <c r="E5" s="14" t="s">
        <v>58</v>
      </c>
      <c r="F5" s="14" t="s">
        <v>59</v>
      </c>
      <c r="G5" s="14" t="s">
        <v>60</v>
      </c>
    </row>
    <row r="6" customFormat="false" ht="15" hidden="false" customHeight="true" outlineLevel="0" collapsed="false">
      <c r="A6" s="5" t="n">
        <v>2</v>
      </c>
      <c r="B6" s="14" t="s">
        <v>61</v>
      </c>
      <c r="C6" s="14" t="s">
        <v>56</v>
      </c>
      <c r="D6" s="14" t="s">
        <v>62</v>
      </c>
      <c r="E6" s="14" t="s">
        <v>58</v>
      </c>
      <c r="F6" s="14" t="s">
        <v>63</v>
      </c>
      <c r="G6" s="14" t="s">
        <v>64</v>
      </c>
    </row>
    <row r="7" customFormat="false" ht="15" hidden="false" customHeight="true" outlineLevel="0" collapsed="false">
      <c r="A7" s="5" t="n">
        <v>3</v>
      </c>
      <c r="B7" s="14" t="s">
        <v>65</v>
      </c>
      <c r="C7" s="14" t="s">
        <v>56</v>
      </c>
      <c r="D7" s="14" t="s">
        <v>66</v>
      </c>
      <c r="E7" s="14" t="s">
        <v>58</v>
      </c>
      <c r="F7" s="14" t="s">
        <v>63</v>
      </c>
      <c r="G7" s="14" t="s">
        <v>67</v>
      </c>
    </row>
    <row r="8" customFormat="false" ht="15" hidden="false" customHeight="true" outlineLevel="0" collapsed="false">
      <c r="A8" s="5" t="n">
        <v>4</v>
      </c>
      <c r="B8" s="14" t="s">
        <v>68</v>
      </c>
      <c r="C8" s="14" t="s">
        <v>56</v>
      </c>
      <c r="D8" s="14" t="s">
        <v>69</v>
      </c>
      <c r="E8" s="14" t="s">
        <v>58</v>
      </c>
      <c r="F8" s="14" t="s">
        <v>63</v>
      </c>
      <c r="G8" s="14" t="s">
        <v>70</v>
      </c>
    </row>
    <row r="9" customFormat="false" ht="15" hidden="false" customHeight="true" outlineLevel="0" collapsed="false">
      <c r="A9" s="5" t="n">
        <v>5</v>
      </c>
      <c r="B9" s="14" t="s">
        <v>71</v>
      </c>
      <c r="C9" s="14" t="s">
        <v>56</v>
      </c>
      <c r="D9" s="14" t="s">
        <v>72</v>
      </c>
      <c r="E9" s="14" t="s">
        <v>58</v>
      </c>
      <c r="F9" s="14" t="s">
        <v>73</v>
      </c>
      <c r="G9" s="14" t="s">
        <v>74</v>
      </c>
    </row>
    <row r="10" customFormat="false" ht="15" hidden="false" customHeight="true" outlineLevel="0" collapsed="false">
      <c r="A10" s="5" t="n">
        <v>6</v>
      </c>
      <c r="B10" s="14" t="s">
        <v>75</v>
      </c>
      <c r="C10" s="14" t="s">
        <v>56</v>
      </c>
      <c r="D10" s="14" t="s">
        <v>76</v>
      </c>
      <c r="E10" s="14" t="s">
        <v>58</v>
      </c>
      <c r="F10" s="14" t="s">
        <v>77</v>
      </c>
      <c r="G10" s="14" t="s">
        <v>78</v>
      </c>
    </row>
    <row r="11" customFormat="false" ht="15" hidden="false" customHeight="true" outlineLevel="0" collapsed="false">
      <c r="A11" s="5" t="n">
        <v>7</v>
      </c>
      <c r="B11" s="14" t="s">
        <v>79</v>
      </c>
      <c r="C11" s="14" t="s">
        <v>56</v>
      </c>
      <c r="D11" s="14" t="s">
        <v>80</v>
      </c>
      <c r="E11" s="14" t="s">
        <v>58</v>
      </c>
      <c r="F11" s="14" t="s">
        <v>81</v>
      </c>
      <c r="G11" s="14" t="s">
        <v>82</v>
      </c>
    </row>
    <row r="12" customFormat="false" ht="15" hidden="false" customHeight="true" outlineLevel="0" collapsed="false">
      <c r="A12" s="5" t="n">
        <v>8</v>
      </c>
      <c r="B12" s="14" t="s">
        <v>83</v>
      </c>
      <c r="C12" s="14" t="s">
        <v>84</v>
      </c>
      <c r="D12" s="14" t="s">
        <v>85</v>
      </c>
      <c r="E12" s="14" t="s">
        <v>58</v>
      </c>
      <c r="F12" s="14" t="s">
        <v>86</v>
      </c>
      <c r="G12" s="14" t="s">
        <v>15</v>
      </c>
    </row>
    <row r="13" customFormat="false" ht="15" hidden="false" customHeight="true" outlineLevel="0" collapsed="false">
      <c r="A13" s="5" t="n">
        <v>9</v>
      </c>
      <c r="B13" s="14" t="s">
        <v>87</v>
      </c>
      <c r="C13" s="14" t="s">
        <v>84</v>
      </c>
      <c r="D13" s="14" t="s">
        <v>88</v>
      </c>
      <c r="E13" s="14" t="s">
        <v>58</v>
      </c>
      <c r="F13" s="14" t="s">
        <v>86</v>
      </c>
      <c r="G13" s="14" t="s">
        <v>15</v>
      </c>
    </row>
    <row r="14" customFormat="false" ht="15" hidden="false" customHeight="true" outlineLevel="0" collapsed="false">
      <c r="A14" s="5" t="n">
        <v>10</v>
      </c>
      <c r="B14" s="14" t="s">
        <v>89</v>
      </c>
      <c r="C14" s="14" t="s">
        <v>84</v>
      </c>
      <c r="D14" s="14" t="s">
        <v>90</v>
      </c>
      <c r="E14" s="14" t="s">
        <v>58</v>
      </c>
      <c r="F14" s="14" t="s">
        <v>86</v>
      </c>
      <c r="G14" s="14" t="s">
        <v>15</v>
      </c>
    </row>
    <row r="15" customFormat="false" ht="15" hidden="false" customHeight="true" outlineLevel="0" collapsed="false">
      <c r="A15" s="5" t="n">
        <v>11</v>
      </c>
      <c r="B15" s="14" t="s">
        <v>91</v>
      </c>
      <c r="C15" s="14" t="s">
        <v>92</v>
      </c>
      <c r="D15" s="14" t="s">
        <v>93</v>
      </c>
      <c r="E15" s="14" t="s">
        <v>58</v>
      </c>
      <c r="F15" s="14" t="s">
        <v>94</v>
      </c>
      <c r="G15" s="14" t="s">
        <v>9</v>
      </c>
    </row>
    <row r="16" customFormat="false" ht="15" hidden="false" customHeight="true" outlineLevel="0" collapsed="false">
      <c r="A16" s="5" t="n">
        <v>12</v>
      </c>
      <c r="B16" s="14" t="s">
        <v>95</v>
      </c>
      <c r="C16" s="14" t="s">
        <v>96</v>
      </c>
      <c r="D16" s="14" t="s">
        <v>97</v>
      </c>
      <c r="E16" s="14" t="s">
        <v>58</v>
      </c>
      <c r="F16" s="14" t="s">
        <v>94</v>
      </c>
      <c r="G16" s="14" t="s">
        <v>15</v>
      </c>
    </row>
    <row r="17" customFormat="false" ht="15" hidden="false" customHeight="true" outlineLevel="0" collapsed="false">
      <c r="A17" s="5" t="n">
        <v>13</v>
      </c>
      <c r="B17" s="14" t="s">
        <v>98</v>
      </c>
      <c r="C17" s="14" t="s">
        <v>96</v>
      </c>
      <c r="D17" s="14" t="s">
        <v>99</v>
      </c>
      <c r="E17" s="14" t="s">
        <v>58</v>
      </c>
      <c r="F17" s="14" t="s">
        <v>100</v>
      </c>
      <c r="G17" s="14" t="s">
        <v>101</v>
      </c>
    </row>
    <row r="18" customFormat="false" ht="15" hidden="false" customHeight="true" outlineLevel="0" collapsed="false">
      <c r="A18" s="5" t="n">
        <v>14</v>
      </c>
      <c r="B18" s="14" t="s">
        <v>102</v>
      </c>
      <c r="C18" s="14" t="s">
        <v>103</v>
      </c>
      <c r="D18" s="14" t="s">
        <v>104</v>
      </c>
      <c r="E18" s="14" t="s">
        <v>105</v>
      </c>
      <c r="F18" s="14" t="s">
        <v>106</v>
      </c>
      <c r="G18" s="14" t="s">
        <v>15</v>
      </c>
    </row>
    <row r="19" customFormat="false" ht="15" hidden="false" customHeight="true" outlineLevel="0" collapsed="false">
      <c r="A19" s="5" t="n">
        <v>15</v>
      </c>
      <c r="B19" s="15" t="s">
        <v>107</v>
      </c>
      <c r="C19" s="14" t="s">
        <v>108</v>
      </c>
      <c r="D19" s="14" t="s">
        <v>109</v>
      </c>
      <c r="E19" s="14" t="s">
        <v>58</v>
      </c>
      <c r="F19" s="14" t="s">
        <v>110</v>
      </c>
      <c r="G19" s="14" t="s">
        <v>111</v>
      </c>
    </row>
    <row r="20" customFormat="false" ht="15" hidden="false" customHeight="true" outlineLevel="0" collapsed="false">
      <c r="A20" s="5" t="n">
        <v>16</v>
      </c>
      <c r="B20" s="14" t="s">
        <v>112</v>
      </c>
      <c r="C20" s="14" t="s">
        <v>113</v>
      </c>
      <c r="D20" s="14" t="s">
        <v>114</v>
      </c>
      <c r="E20" s="14" t="s">
        <v>58</v>
      </c>
      <c r="F20" s="14" t="s">
        <v>94</v>
      </c>
      <c r="G20" s="14" t="s">
        <v>9</v>
      </c>
    </row>
    <row r="21" customFormat="false" ht="15" hidden="false" customHeight="true" outlineLevel="0" collapsed="false">
      <c r="A21" s="5" t="n">
        <v>17</v>
      </c>
      <c r="B21" s="15" t="s">
        <v>115</v>
      </c>
      <c r="C21" s="14" t="s">
        <v>116</v>
      </c>
      <c r="D21" s="14" t="s">
        <v>117</v>
      </c>
      <c r="E21" s="14"/>
      <c r="F21" s="14" t="s">
        <v>73</v>
      </c>
      <c r="G21" s="14" t="s">
        <v>118</v>
      </c>
    </row>
    <row r="22" customFormat="false" ht="15" hidden="false" customHeight="true" outlineLevel="0" collapsed="false">
      <c r="A22" s="5" t="n">
        <v>18</v>
      </c>
      <c r="B22" s="14" t="s">
        <v>119</v>
      </c>
      <c r="C22" s="14" t="s">
        <v>120</v>
      </c>
      <c r="D22" s="14" t="s">
        <v>121</v>
      </c>
      <c r="E22" s="14" t="s">
        <v>58</v>
      </c>
      <c r="F22" s="14" t="s">
        <v>122</v>
      </c>
      <c r="G22" s="14" t="s">
        <v>123</v>
      </c>
    </row>
    <row r="23" customFormat="false" ht="15" hidden="false" customHeight="true" outlineLevel="0" collapsed="false">
      <c r="A23" s="5" t="n">
        <v>19</v>
      </c>
      <c r="B23" s="14" t="s">
        <v>124</v>
      </c>
      <c r="C23" s="14" t="s">
        <v>125</v>
      </c>
      <c r="D23" s="14" t="s">
        <v>126</v>
      </c>
      <c r="E23" s="14" t="s">
        <v>58</v>
      </c>
      <c r="F23" s="14" t="s">
        <v>127</v>
      </c>
      <c r="G23" s="14" t="s">
        <v>128</v>
      </c>
    </row>
    <row r="25" customFormat="false" ht="45" hidden="false" customHeight="true" outlineLevel="0" collapsed="false">
      <c r="A25" s="16" t="s">
        <v>129</v>
      </c>
      <c r="B25" s="16"/>
      <c r="C25" s="16"/>
      <c r="D25" s="16"/>
      <c r="E25" s="16"/>
      <c r="F25" s="16"/>
      <c r="G25" s="16"/>
    </row>
    <row r="28" customFormat="false" ht="15" hidden="false" customHeight="true" outlineLevel="0" collapsed="false">
      <c r="A28" s="8" t="s">
        <v>130</v>
      </c>
      <c r="B28" s="8"/>
      <c r="C28" s="8"/>
      <c r="D28" s="8"/>
      <c r="E28" s="8"/>
      <c r="F28" s="8"/>
      <c r="G28" s="8"/>
    </row>
    <row r="29" customFormat="false" ht="15" hidden="false" customHeight="true" outlineLevel="0" collapsed="false">
      <c r="A29" s="17" t="s">
        <v>48</v>
      </c>
      <c r="B29" s="17" t="s">
        <v>131</v>
      </c>
      <c r="C29" s="17" t="s">
        <v>132</v>
      </c>
      <c r="D29" s="17" t="s">
        <v>133</v>
      </c>
      <c r="E29" s="17" t="s">
        <v>134</v>
      </c>
      <c r="F29" s="17" t="s">
        <v>135</v>
      </c>
      <c r="G29" s="17"/>
    </row>
    <row r="30" customFormat="false" ht="75" hidden="false" customHeight="true" outlineLevel="0" collapsed="false">
      <c r="A30" s="5" t="n">
        <v>1</v>
      </c>
      <c r="B30" s="6" t="s">
        <v>136</v>
      </c>
      <c r="C30" s="18" t="s">
        <v>137</v>
      </c>
      <c r="D30" s="19" t="s">
        <v>138</v>
      </c>
      <c r="E30" s="19" t="s">
        <v>139</v>
      </c>
      <c r="F30" s="19" t="s">
        <v>140</v>
      </c>
    </row>
    <row r="31" customFormat="false" ht="75" hidden="false" customHeight="true" outlineLevel="0" collapsed="false">
      <c r="A31" s="5" t="n">
        <v>2</v>
      </c>
      <c r="B31" s="6" t="s">
        <v>141</v>
      </c>
      <c r="C31" s="20" t="s">
        <v>142</v>
      </c>
      <c r="D31" s="19" t="s">
        <v>143</v>
      </c>
      <c r="E31" s="19" t="s">
        <v>144</v>
      </c>
      <c r="F31" s="19" t="s">
        <v>145</v>
      </c>
    </row>
    <row r="32" customFormat="false" ht="105" hidden="false" customHeight="true" outlineLevel="0" collapsed="false">
      <c r="A32" s="5" t="n">
        <v>3</v>
      </c>
      <c r="B32" s="6" t="s">
        <v>146</v>
      </c>
      <c r="C32" s="20" t="s">
        <v>142</v>
      </c>
      <c r="D32" s="19" t="s">
        <v>147</v>
      </c>
      <c r="E32" s="19" t="s">
        <v>148</v>
      </c>
      <c r="F32" s="19" t="s">
        <v>149</v>
      </c>
    </row>
    <row r="33" customFormat="false" ht="45" hidden="false" customHeight="true" outlineLevel="0" collapsed="false">
      <c r="A33" s="5" t="n">
        <v>4</v>
      </c>
      <c r="B33" s="6" t="s">
        <v>150</v>
      </c>
      <c r="C33" s="18" t="s">
        <v>137</v>
      </c>
      <c r="D33" s="19" t="s">
        <v>151</v>
      </c>
      <c r="E33" s="19" t="s">
        <v>152</v>
      </c>
      <c r="F33" s="19" t="s">
        <v>153</v>
      </c>
    </row>
    <row r="34" customFormat="false" ht="45" hidden="false" customHeight="true" outlineLevel="0" collapsed="false">
      <c r="A34" s="5" t="n">
        <v>5</v>
      </c>
      <c r="B34" s="6" t="s">
        <v>154</v>
      </c>
      <c r="C34" s="20" t="s">
        <v>142</v>
      </c>
      <c r="D34" s="19" t="s">
        <v>155</v>
      </c>
      <c r="E34" s="19" t="s">
        <v>156</v>
      </c>
      <c r="F34" s="19" t="s">
        <v>157</v>
      </c>
    </row>
    <row r="35" customFormat="false" ht="45" hidden="false" customHeight="true" outlineLevel="0" collapsed="false">
      <c r="A35" s="5" t="n">
        <v>6</v>
      </c>
      <c r="B35" s="6" t="s">
        <v>158</v>
      </c>
      <c r="C35" s="20" t="s">
        <v>142</v>
      </c>
      <c r="D35" s="19" t="s">
        <v>159</v>
      </c>
      <c r="E35" s="19" t="s">
        <v>160</v>
      </c>
      <c r="F35" s="19" t="s">
        <v>161</v>
      </c>
    </row>
    <row r="36" customFormat="false" ht="75" hidden="false" customHeight="true" outlineLevel="0" collapsed="false">
      <c r="A36" s="5" t="n">
        <v>7</v>
      </c>
      <c r="B36" s="6" t="s">
        <v>162</v>
      </c>
      <c r="C36" s="21" t="s">
        <v>163</v>
      </c>
      <c r="D36" s="19" t="s">
        <v>164</v>
      </c>
      <c r="E36" s="19" t="s">
        <v>165</v>
      </c>
      <c r="F36" s="19" t="s">
        <v>166</v>
      </c>
    </row>
    <row r="38" customFormat="false" ht="45" hidden="false" customHeight="true" outlineLevel="0" collapsed="false">
      <c r="A38" s="16" t="s">
        <v>167</v>
      </c>
      <c r="B38" s="16"/>
      <c r="C38" s="16"/>
      <c r="D38" s="16"/>
      <c r="E38" s="16"/>
      <c r="F38" s="16"/>
      <c r="G38" s="16"/>
    </row>
    <row r="41" customFormat="false" ht="15" hidden="false" customHeight="true" outlineLevel="0" collapsed="false">
      <c r="A41" s="8" t="s">
        <v>168</v>
      </c>
      <c r="B41" s="8"/>
      <c r="C41" s="8"/>
      <c r="D41" s="8"/>
      <c r="E41" s="8"/>
      <c r="F41" s="8"/>
    </row>
    <row r="42" customFormat="false" ht="26.25" hidden="false" customHeight="true" outlineLevel="0" collapsed="false">
      <c r="A42" s="17" t="s">
        <v>169</v>
      </c>
      <c r="B42" s="17" t="s">
        <v>170</v>
      </c>
      <c r="C42" s="17" t="s">
        <v>52</v>
      </c>
      <c r="D42" s="17"/>
    </row>
    <row r="43" customFormat="false" ht="27.75" hidden="false" customHeight="true" outlineLevel="0" collapsed="false">
      <c r="A43" s="6" t="s">
        <v>171</v>
      </c>
      <c r="B43" s="22" t="s">
        <v>172</v>
      </c>
      <c r="C43" s="5" t="s">
        <v>173</v>
      </c>
    </row>
    <row r="44" customFormat="false" ht="27.75" hidden="false" customHeight="true" outlineLevel="0" collapsed="false">
      <c r="A44" s="6" t="s">
        <v>174</v>
      </c>
      <c r="B44" s="22" t="s">
        <v>175</v>
      </c>
      <c r="C44" s="5" t="s">
        <v>173</v>
      </c>
    </row>
    <row r="45" customFormat="false" ht="27.75" hidden="false" customHeight="true" outlineLevel="0" collapsed="false">
      <c r="A45" s="6" t="s">
        <v>176</v>
      </c>
      <c r="B45" s="22" t="s">
        <v>177</v>
      </c>
      <c r="C45" s="5" t="s">
        <v>173</v>
      </c>
    </row>
    <row r="46" customFormat="false" ht="27.75" hidden="false" customHeight="true" outlineLevel="0" collapsed="false">
      <c r="A46" s="6" t="s">
        <v>178</v>
      </c>
      <c r="B46" s="22" t="s">
        <v>179</v>
      </c>
      <c r="C46" s="5" t="s">
        <v>173</v>
      </c>
    </row>
    <row r="47" customFormat="false" ht="27.75" hidden="false" customHeight="true" outlineLevel="0" collapsed="false">
      <c r="A47" s="6" t="s">
        <v>180</v>
      </c>
      <c r="B47" s="22" t="s">
        <v>181</v>
      </c>
      <c r="C47" s="5" t="s">
        <v>173</v>
      </c>
    </row>
    <row r="48" customFormat="false" ht="27.75" hidden="false" customHeight="true" outlineLevel="0" collapsed="false">
      <c r="A48" s="6" t="s">
        <v>182</v>
      </c>
      <c r="B48" s="22" t="s">
        <v>183</v>
      </c>
      <c r="C48" s="5" t="s">
        <v>173</v>
      </c>
    </row>
    <row r="50" customFormat="false" ht="90" hidden="false" customHeight="true" outlineLevel="0" collapsed="false">
      <c r="A50" s="16" t="s">
        <v>184</v>
      </c>
      <c r="B50" s="16"/>
      <c r="C50" s="16"/>
      <c r="D50" s="16"/>
      <c r="E50" s="16"/>
      <c r="F50" s="16"/>
    </row>
  </sheetData>
  <mergeCells count="5">
    <mergeCell ref="A25:G25"/>
    <mergeCell ref="A28:G28"/>
    <mergeCell ref="A38:G38"/>
    <mergeCell ref="A41:F41"/>
    <mergeCell ref="A50:F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12" min="3" style="1" width="11"/>
  </cols>
  <sheetData>
    <row r="1" customFormat="false" ht="15" hidden="false" customHeight="true" outlineLevel="0" collapsed="false">
      <c r="A1" s="4" t="s">
        <v>185</v>
      </c>
      <c r="B1" s="4" t="s">
        <v>186</v>
      </c>
      <c r="C1" s="4" t="s">
        <v>187</v>
      </c>
      <c r="D1" s="4" t="s">
        <v>188</v>
      </c>
      <c r="E1" s="4" t="s">
        <v>189</v>
      </c>
      <c r="F1" s="4" t="s">
        <v>190</v>
      </c>
      <c r="G1" s="4" t="s">
        <v>191</v>
      </c>
      <c r="H1" s="4" t="s">
        <v>192</v>
      </c>
      <c r="I1" s="4" t="s">
        <v>193</v>
      </c>
      <c r="J1" s="4" t="s">
        <v>194</v>
      </c>
      <c r="K1" s="4" t="s">
        <v>195</v>
      </c>
      <c r="L1" s="4" t="s">
        <v>196</v>
      </c>
    </row>
    <row r="2" customFormat="false" ht="15" hidden="false" customHeight="true" outlineLevel="0" collapsed="false">
      <c r="A2" s="5" t="s">
        <v>197</v>
      </c>
      <c r="B2" s="23" t="s">
        <v>198</v>
      </c>
      <c r="C2" s="24" t="n">
        <v>48.87</v>
      </c>
      <c r="D2" s="24" t="n">
        <v>59.33</v>
      </c>
      <c r="E2" s="24" t="n">
        <v>80.78</v>
      </c>
      <c r="F2" s="24" t="n">
        <v>77.46</v>
      </c>
      <c r="G2" s="24" t="n">
        <v>81.25</v>
      </c>
      <c r="H2" s="24" t="n">
        <v>88.02</v>
      </c>
      <c r="I2" s="24" t="n">
        <v>100.06</v>
      </c>
      <c r="J2" s="24" t="n">
        <v>112.81</v>
      </c>
      <c r="K2" s="24" t="n">
        <v>125.81</v>
      </c>
      <c r="L2" s="24" t="n">
        <v>140.75</v>
      </c>
    </row>
    <row r="3" customFormat="false" ht="15" hidden="false" customHeight="true" outlineLevel="0" collapsed="false">
      <c r="A3" s="5" t="s">
        <v>199</v>
      </c>
      <c r="B3" s="23" t="s">
        <v>200</v>
      </c>
      <c r="C3" s="25" t="n">
        <v>23891</v>
      </c>
      <c r="D3" s="25" t="n">
        <v>29358</v>
      </c>
      <c r="E3" s="25" t="n">
        <v>39999</v>
      </c>
      <c r="F3" s="25" t="n">
        <v>40649</v>
      </c>
      <c r="G3" s="25" t="n">
        <v>43188</v>
      </c>
      <c r="H3" s="25" t="n">
        <v>50663</v>
      </c>
      <c r="I3" s="25" t="n">
        <v>61237</v>
      </c>
      <c r="J3" s="25" t="n">
        <v>68641</v>
      </c>
      <c r="K3" s="25" t="n">
        <v>71895</v>
      </c>
      <c r="L3" s="25" t="n">
        <v>82170</v>
      </c>
    </row>
    <row r="4" customFormat="false" ht="15" hidden="false" customHeight="true" outlineLevel="0" collapsed="false">
      <c r="A4" s="5" t="s">
        <v>201</v>
      </c>
      <c r="B4" s="23" t="s">
        <v>200</v>
      </c>
      <c r="C4" s="25" t="n">
        <v>18922</v>
      </c>
      <c r="D4" s="25" t="n">
        <v>23475</v>
      </c>
      <c r="E4" s="25" t="n">
        <v>32920</v>
      </c>
      <c r="F4" s="25" t="n">
        <v>31997</v>
      </c>
      <c r="G4" s="25" t="n">
        <v>32224</v>
      </c>
      <c r="H4" s="25" t="n">
        <v>39727</v>
      </c>
      <c r="I4" s="25" t="n">
        <v>50952</v>
      </c>
      <c r="J4" s="25" t="n">
        <v>56021</v>
      </c>
      <c r="K4" s="25" t="n">
        <v>59599</v>
      </c>
      <c r="L4" s="25" t="n">
        <v>66730</v>
      </c>
    </row>
    <row r="5" customFormat="false" ht="15" hidden="false" customHeight="true" outlineLevel="0" collapsed="false">
      <c r="A5" s="5" t="s">
        <v>202</v>
      </c>
      <c r="B5" s="23" t="s">
        <v>200</v>
      </c>
      <c r="C5" s="25" t="n">
        <v>4969</v>
      </c>
      <c r="D5" s="25" t="n">
        <v>5883</v>
      </c>
      <c r="E5" s="25" t="n">
        <v>7079</v>
      </c>
      <c r="F5" s="25" t="n">
        <v>8652</v>
      </c>
      <c r="G5" s="25" t="n">
        <v>10965</v>
      </c>
      <c r="H5" s="25" t="n">
        <v>10936</v>
      </c>
      <c r="I5" s="25" t="n">
        <v>10286</v>
      </c>
      <c r="J5" s="25" t="n">
        <v>12620</v>
      </c>
      <c r="K5" s="25" t="n">
        <v>12296</v>
      </c>
      <c r="L5" s="25" t="n">
        <v>15439</v>
      </c>
    </row>
    <row r="6" customFormat="false" ht="15" hidden="false" customHeight="true" outlineLevel="0" collapsed="false">
      <c r="A6" s="5" t="s">
        <v>203</v>
      </c>
      <c r="B6" s="23" t="s">
        <v>200</v>
      </c>
      <c r="C6" s="25" t="n">
        <v>660</v>
      </c>
      <c r="D6" s="25" t="n">
        <v>600</v>
      </c>
      <c r="E6" s="25" t="n">
        <v>497</v>
      </c>
      <c r="F6" s="25" t="n">
        <v>727</v>
      </c>
      <c r="G6" s="25" t="n">
        <v>789</v>
      </c>
      <c r="H6" s="25" t="n">
        <v>612</v>
      </c>
      <c r="I6" s="25" t="n">
        <v>505</v>
      </c>
      <c r="J6" s="25" t="n">
        <v>662</v>
      </c>
      <c r="K6" s="25" t="n">
        <v>693</v>
      </c>
      <c r="L6" s="25" t="n">
        <v>376</v>
      </c>
    </row>
    <row r="7" customFormat="false" ht="15" hidden="false" customHeight="true" outlineLevel="0" collapsed="false">
      <c r="A7" s="5" t="s">
        <v>204</v>
      </c>
      <c r="B7" s="23" t="s">
        <v>200</v>
      </c>
      <c r="C7" s="25" t="n">
        <v>1268</v>
      </c>
      <c r="D7" s="25" t="n">
        <v>1764</v>
      </c>
      <c r="E7" s="25" t="n">
        <v>2321</v>
      </c>
      <c r="F7" s="25" t="n">
        <v>2455</v>
      </c>
      <c r="G7" s="25" t="n">
        <v>2434</v>
      </c>
      <c r="H7" s="25" t="n">
        <v>2457</v>
      </c>
      <c r="I7" s="25" t="n">
        <v>2773</v>
      </c>
      <c r="J7" s="25" t="n">
        <v>3027</v>
      </c>
      <c r="K7" s="25" t="n">
        <v>3739</v>
      </c>
      <c r="L7" s="25" t="n">
        <v>4055</v>
      </c>
    </row>
    <row r="8" customFormat="false" ht="15" hidden="false" customHeight="true" outlineLevel="0" collapsed="false">
      <c r="A8" s="5" t="s">
        <v>205</v>
      </c>
      <c r="B8" s="23" t="s">
        <v>200</v>
      </c>
      <c r="C8" s="25" t="n">
        <v>4361</v>
      </c>
      <c r="D8" s="25" t="n">
        <v>4719</v>
      </c>
      <c r="E8" s="25" t="n">
        <v>5255</v>
      </c>
      <c r="F8" s="25" t="n">
        <v>6924</v>
      </c>
      <c r="G8" s="25" t="n">
        <v>9319</v>
      </c>
      <c r="H8" s="25" t="n">
        <v>9091</v>
      </c>
      <c r="I8" s="25" t="n">
        <v>8018</v>
      </c>
      <c r="J8" s="25" t="n">
        <v>10255</v>
      </c>
      <c r="K8" s="25" t="n">
        <v>9250</v>
      </c>
      <c r="L8" s="25" t="n">
        <v>11761</v>
      </c>
    </row>
    <row r="9" customFormat="false" ht="15" hidden="false" customHeight="true" outlineLevel="0" collapsed="false">
      <c r="A9" s="5" t="s">
        <v>206</v>
      </c>
      <c r="B9" s="23" t="s">
        <v>200</v>
      </c>
      <c r="C9" s="25" t="n">
        <v>571</v>
      </c>
      <c r="D9" s="25" t="n">
        <v>1191</v>
      </c>
      <c r="E9" s="25" t="n">
        <v>1648</v>
      </c>
      <c r="F9" s="25" t="n">
        <v>1704</v>
      </c>
      <c r="G9" s="25" t="n">
        <v>1259</v>
      </c>
      <c r="H9" s="25" t="n">
        <v>798</v>
      </c>
      <c r="I9" s="25" t="n">
        <v>756</v>
      </c>
      <c r="J9" s="25" t="n">
        <v>867</v>
      </c>
      <c r="K9" s="25" t="n">
        <v>1465</v>
      </c>
      <c r="L9" s="25" t="n">
        <v>1630</v>
      </c>
    </row>
    <row r="10" customFormat="false" ht="15" hidden="false" customHeight="true" outlineLevel="0" collapsed="false">
      <c r="A10" s="5" t="s">
        <v>207</v>
      </c>
      <c r="B10" s="23" t="s">
        <v>200</v>
      </c>
      <c r="C10" s="25" t="n">
        <v>3790</v>
      </c>
      <c r="D10" s="25" t="n">
        <v>3528</v>
      </c>
      <c r="E10" s="25" t="n">
        <v>3606</v>
      </c>
      <c r="F10" s="25" t="n">
        <v>5220</v>
      </c>
      <c r="G10" s="25" t="n">
        <v>8060</v>
      </c>
      <c r="H10" s="25" t="n">
        <v>8293</v>
      </c>
      <c r="I10" s="25" t="n">
        <v>7262</v>
      </c>
      <c r="J10" s="25" t="n">
        <v>9388</v>
      </c>
      <c r="K10" s="25" t="n">
        <v>7785</v>
      </c>
      <c r="L10" s="25" t="n">
        <v>10131</v>
      </c>
    </row>
    <row r="11" customFormat="false" ht="15" hidden="false" customHeight="true" outlineLevel="0" collapsed="false">
      <c r="A11" s="5" t="s">
        <v>208</v>
      </c>
      <c r="B11" s="23" t="s">
        <v>200</v>
      </c>
      <c r="C11" s="25" t="n">
        <v>-14</v>
      </c>
      <c r="D11" s="25" t="n">
        <v>-226</v>
      </c>
      <c r="E11" s="25" t="n">
        <v>-114</v>
      </c>
      <c r="F11" s="25" t="n">
        <v>0</v>
      </c>
      <c r="G11" s="25" t="n">
        <v>-164</v>
      </c>
      <c r="H11" s="25" t="n">
        <v>0</v>
      </c>
      <c r="I11" s="25" t="n">
        <v>0</v>
      </c>
      <c r="J11" s="25" t="n">
        <v>-72</v>
      </c>
      <c r="K11" s="25" t="n">
        <v>-88</v>
      </c>
      <c r="L11" s="25" t="n">
        <v>-104</v>
      </c>
    </row>
    <row r="12" customFormat="false" ht="15" hidden="false" customHeight="true" outlineLevel="0" collapsed="false">
      <c r="A12" s="5" t="s">
        <v>209</v>
      </c>
      <c r="B12" s="23" t="s">
        <v>200</v>
      </c>
      <c r="C12" s="25" t="n">
        <v>1148</v>
      </c>
      <c r="D12" s="25" t="n">
        <v>1071</v>
      </c>
      <c r="E12" s="25" t="n">
        <v>1080</v>
      </c>
      <c r="F12" s="25" t="n">
        <v>-236</v>
      </c>
      <c r="G12" s="25" t="n">
        <v>2554</v>
      </c>
      <c r="H12" s="25" t="n">
        <v>1227</v>
      </c>
      <c r="I12" s="25" t="n">
        <v>2310</v>
      </c>
      <c r="J12" s="25" t="n">
        <v>2411</v>
      </c>
      <c r="K12" s="25" t="n">
        <v>1504</v>
      </c>
      <c r="L12" s="25" t="n">
        <v>2622</v>
      </c>
    </row>
    <row r="13" customFormat="false" ht="15" hidden="false" customHeight="true" outlineLevel="0" collapsed="false">
      <c r="A13" s="5" t="s">
        <v>210</v>
      </c>
      <c r="B13" s="23" t="s">
        <v>200</v>
      </c>
      <c r="C13" s="25" t="n">
        <v>2628</v>
      </c>
      <c r="D13" s="25" t="n">
        <v>2231</v>
      </c>
      <c r="E13" s="25" t="n">
        <v>2412</v>
      </c>
      <c r="F13" s="25" t="n">
        <v>5456</v>
      </c>
      <c r="G13" s="25" t="n">
        <v>5342</v>
      </c>
      <c r="H13" s="25" t="n">
        <v>7067</v>
      </c>
      <c r="I13" s="25" t="n">
        <v>4951</v>
      </c>
      <c r="J13" s="25" t="n">
        <v>6905</v>
      </c>
      <c r="K13" s="25" t="n">
        <v>6193</v>
      </c>
      <c r="L13" s="25" t="n">
        <v>7405</v>
      </c>
    </row>
    <row r="14" customFormat="false" ht="15" hidden="false" customHeight="true" outlineLevel="0" collapsed="false">
      <c r="A14" s="5" t="s">
        <v>211</v>
      </c>
      <c r="B14" s="23" t="s">
        <v>200</v>
      </c>
      <c r="C14" s="25" t="n">
        <v>24387</v>
      </c>
      <c r="D14" s="25" t="n">
        <v>40782</v>
      </c>
      <c r="E14" s="25" t="n">
        <v>49568</v>
      </c>
      <c r="F14" s="25" t="n">
        <v>49486</v>
      </c>
      <c r="G14" s="25" t="n">
        <v>49144</v>
      </c>
      <c r="H14" s="25" t="n">
        <v>52604</v>
      </c>
      <c r="I14" s="25" t="n">
        <v>63077</v>
      </c>
      <c r="J14" s="25" t="n">
        <v>69368</v>
      </c>
      <c r="K14" s="25" t="n">
        <v>83764</v>
      </c>
      <c r="L14" s="25" t="n">
        <v>89161</v>
      </c>
    </row>
    <row r="15" customFormat="false" ht="15" hidden="false" customHeight="true" outlineLevel="0" collapsed="false">
      <c r="A15" s="5" t="s">
        <v>212</v>
      </c>
      <c r="B15" s="23" t="s">
        <v>200</v>
      </c>
      <c r="C15" s="25" t="n">
        <v>746</v>
      </c>
      <c r="D15" s="25" t="n">
        <v>751</v>
      </c>
      <c r="E15" s="25" t="n">
        <v>5988</v>
      </c>
      <c r="F15" s="25" t="n">
        <v>5990</v>
      </c>
      <c r="G15" s="25" t="n">
        <v>6330</v>
      </c>
      <c r="H15" s="25" t="n">
        <v>8177</v>
      </c>
      <c r="I15" s="25" t="n">
        <v>3187</v>
      </c>
      <c r="J15" s="25" t="n">
        <v>2221</v>
      </c>
      <c r="K15" s="25" t="n">
        <v>12999</v>
      </c>
      <c r="L15" s="25" t="n">
        <v>12541</v>
      </c>
    </row>
    <row r="16" customFormat="false" ht="15" hidden="false" customHeight="true" outlineLevel="0" collapsed="false">
      <c r="A16" s="5" t="s">
        <v>213</v>
      </c>
      <c r="B16" s="23" t="s">
        <v>200</v>
      </c>
      <c r="C16" s="25" t="n">
        <v>8663</v>
      </c>
      <c r="D16" s="25" t="n">
        <v>5412</v>
      </c>
      <c r="E16" s="25" t="n">
        <v>3224</v>
      </c>
      <c r="F16" s="25" t="n">
        <v>5882</v>
      </c>
      <c r="G16" s="25" t="n">
        <v>13582</v>
      </c>
      <c r="H16" s="25" t="n">
        <v>6115</v>
      </c>
      <c r="I16" s="25" t="n">
        <v>6246</v>
      </c>
      <c r="J16" s="25" t="n">
        <v>7016</v>
      </c>
      <c r="K16" s="25" t="n">
        <v>3504</v>
      </c>
      <c r="L16" s="25" t="n">
        <v>5018</v>
      </c>
    </row>
    <row r="17" customFormat="false" ht="15" hidden="false" customHeight="true" outlineLevel="0" collapsed="false">
      <c r="A17" s="5" t="s">
        <v>214</v>
      </c>
      <c r="B17" s="23" t="s">
        <v>200</v>
      </c>
      <c r="C17" s="25" t="n">
        <v>-841</v>
      </c>
      <c r="D17" s="25" t="n">
        <v>-428</v>
      </c>
      <c r="E17" s="25" t="n">
        <v>401</v>
      </c>
      <c r="F17" s="25" t="n">
        <v>190</v>
      </c>
      <c r="G17" s="25" t="n">
        <v>-2170</v>
      </c>
      <c r="H17" s="25" t="n">
        <v>-1618</v>
      </c>
      <c r="I17" s="25" t="n">
        <v>-3140</v>
      </c>
      <c r="J17" s="25" t="n">
        <v>-4074</v>
      </c>
      <c r="K17" s="25" t="n">
        <v>-2031</v>
      </c>
      <c r="L17" s="25" t="n">
        <v>-3071</v>
      </c>
    </row>
    <row r="18" customFormat="false" ht="15" hidden="false" customHeight="true" outlineLevel="0" collapsed="false">
      <c r="A18" s="5" t="s">
        <v>215</v>
      </c>
      <c r="B18" s="23" t="s">
        <v>200</v>
      </c>
      <c r="C18" s="25" t="n">
        <v>275</v>
      </c>
      <c r="D18" s="25" t="n">
        <v>275</v>
      </c>
      <c r="E18" s="25" t="n">
        <v>275</v>
      </c>
      <c r="F18" s="25" t="n">
        <v>289</v>
      </c>
      <c r="G18" s="25" t="n">
        <v>289</v>
      </c>
      <c r="H18" s="25" t="n">
        <v>289</v>
      </c>
      <c r="I18" s="25" t="n">
        <v>289</v>
      </c>
      <c r="J18" s="25" t="n">
        <v>289</v>
      </c>
      <c r="K18" s="25" t="n">
        <v>295</v>
      </c>
      <c r="L18" s="25" t="n">
        <v>295</v>
      </c>
    </row>
    <row r="19" customFormat="false" ht="15" hidden="false" customHeight="true" outlineLevel="0" collapsed="false">
      <c r="A19" s="5" t="s">
        <v>216</v>
      </c>
      <c r="B19" s="23" t="s">
        <v>200</v>
      </c>
      <c r="C19" s="25" t="n">
        <v>23667</v>
      </c>
      <c r="D19" s="25" t="n">
        <v>25648</v>
      </c>
      <c r="E19" s="25" t="n">
        <v>33023</v>
      </c>
      <c r="F19" s="25" t="n">
        <v>38008</v>
      </c>
      <c r="G19" s="25" t="n">
        <v>43064</v>
      </c>
      <c r="H19" s="25" t="n">
        <v>48982</v>
      </c>
      <c r="I19" s="25" t="n">
        <v>53119</v>
      </c>
      <c r="J19" s="25" t="n">
        <v>58807</v>
      </c>
      <c r="K19" s="25" t="n">
        <v>69383</v>
      </c>
      <c r="L19" s="25" t="n">
        <v>74369</v>
      </c>
    </row>
    <row r="20" customFormat="false" ht="15" hidden="false" customHeight="true" outlineLevel="0" collapsed="false">
      <c r="A20" s="5" t="s">
        <v>217</v>
      </c>
      <c r="B20" s="23" t="s">
        <v>200</v>
      </c>
      <c r="C20" s="25" t="n">
        <v>23941</v>
      </c>
      <c r="D20" s="25" t="n">
        <v>25923</v>
      </c>
      <c r="E20" s="25" t="n">
        <v>33297</v>
      </c>
      <c r="F20" s="25" t="n">
        <v>38296</v>
      </c>
      <c r="G20" s="25" t="n">
        <v>43353</v>
      </c>
      <c r="H20" s="25" t="n">
        <v>49271</v>
      </c>
      <c r="I20" s="25" t="n">
        <v>53408</v>
      </c>
      <c r="J20" s="25" t="n">
        <v>59095</v>
      </c>
      <c r="K20" s="25" t="n">
        <v>69678</v>
      </c>
      <c r="L20" s="25" t="n">
        <v>74663</v>
      </c>
    </row>
    <row r="21" customFormat="false" ht="15" hidden="false" customHeight="true" outlineLevel="0" collapsed="false">
      <c r="A21" s="5" t="s">
        <v>218</v>
      </c>
      <c r="B21" s="23" t="s">
        <v>200</v>
      </c>
      <c r="C21" s="25" t="n">
        <v>6240</v>
      </c>
      <c r="D21" s="25" t="n">
        <v>17420</v>
      </c>
      <c r="E21" s="25" t="n">
        <v>20637</v>
      </c>
      <c r="F21" s="25" t="n">
        <v>18282</v>
      </c>
      <c r="G21" s="25" t="n">
        <v>17319</v>
      </c>
      <c r="H21" s="25" t="n">
        <v>9891</v>
      </c>
      <c r="I21" s="25" t="n">
        <v>8750</v>
      </c>
      <c r="J21" s="25" t="n">
        <v>8087</v>
      </c>
      <c r="K21" s="25" t="n">
        <v>19460</v>
      </c>
      <c r="L21" s="25" t="n">
        <v>19617</v>
      </c>
    </row>
    <row r="22" customFormat="false" ht="15" hidden="false" customHeight="true" outlineLevel="0" collapsed="false">
      <c r="A22" s="5" t="s">
        <v>219</v>
      </c>
      <c r="B22" s="23" t="s">
        <v>200</v>
      </c>
      <c r="C22" s="25" t="n">
        <v>0</v>
      </c>
      <c r="D22" s="25" t="n">
        <v>0</v>
      </c>
      <c r="E22" s="25" t="n">
        <v>0</v>
      </c>
      <c r="F22" s="25" t="n">
        <v>893</v>
      </c>
      <c r="G22" s="25" t="n">
        <v>996</v>
      </c>
      <c r="H22" s="25" t="n">
        <v>885</v>
      </c>
      <c r="I22" s="25" t="n">
        <v>953</v>
      </c>
      <c r="J22" s="25" t="n">
        <v>923</v>
      </c>
      <c r="K22" s="25" t="n">
        <v>901</v>
      </c>
      <c r="L22" s="25" t="n">
        <v>863</v>
      </c>
    </row>
    <row r="23" customFormat="false" ht="15" hidden="false" customHeight="true" outlineLevel="0" collapsed="false">
      <c r="A23" s="5" t="s">
        <v>220</v>
      </c>
      <c r="B23" s="23" t="s">
        <v>200</v>
      </c>
      <c r="C23" s="25" t="n">
        <v>2774</v>
      </c>
      <c r="D23" s="25" t="n">
        <v>3174</v>
      </c>
      <c r="E23" s="25" t="n">
        <v>5247</v>
      </c>
      <c r="F23" s="25" t="n">
        <v>4077</v>
      </c>
      <c r="G23" s="25" t="n">
        <v>5219</v>
      </c>
      <c r="H23" s="25" t="n">
        <v>5230</v>
      </c>
      <c r="I23" s="25" t="n">
        <v>6258</v>
      </c>
      <c r="J23" s="25" t="n">
        <v>6425</v>
      </c>
      <c r="K23" s="25" t="n">
        <v>8198</v>
      </c>
      <c r="L23" s="25" t="n">
        <v>8506</v>
      </c>
    </row>
    <row r="24" customFormat="false" ht="15" hidden="false" customHeight="true" outlineLevel="0" collapsed="false">
      <c r="A24" s="5" t="s">
        <v>221</v>
      </c>
      <c r="B24" s="23" t="s">
        <v>200</v>
      </c>
      <c r="C24" s="25" t="n">
        <v>32955</v>
      </c>
      <c r="D24" s="25" t="n">
        <v>46517</v>
      </c>
      <c r="E24" s="25" t="n">
        <v>59181</v>
      </c>
      <c r="F24" s="25" t="n">
        <v>61548</v>
      </c>
      <c r="G24" s="25" t="n">
        <v>66886</v>
      </c>
      <c r="H24" s="25" t="n">
        <v>65276</v>
      </c>
      <c r="I24" s="25" t="n">
        <v>69369</v>
      </c>
      <c r="J24" s="25" t="n">
        <v>74531</v>
      </c>
      <c r="K24" s="25" t="n">
        <v>98236</v>
      </c>
      <c r="L24" s="25" t="n">
        <v>103649</v>
      </c>
    </row>
    <row r="26" customFormat="false" ht="15" hidden="false" customHeight="true" outlineLevel="0" collapsed="false">
      <c r="A26" s="26" t="s">
        <v>222</v>
      </c>
      <c r="B26" s="26"/>
      <c r="C26" s="26"/>
      <c r="D26" s="26"/>
      <c r="E26" s="26"/>
      <c r="F26" s="26"/>
      <c r="G26" s="26"/>
      <c r="H26" s="26"/>
      <c r="I26" s="26"/>
      <c r="J26" s="26"/>
      <c r="K26" s="26"/>
      <c r="L26" s="26"/>
    </row>
    <row r="27" customFormat="false" ht="15" hidden="false" customHeight="true" outlineLevel="0" collapsed="false">
      <c r="A27" s="6" t="s">
        <v>223</v>
      </c>
      <c r="B27" s="23"/>
      <c r="C27" s="27" t="n">
        <f aca="false">IFERROR(C5/C3,"")</f>
        <v>0.207986270980704</v>
      </c>
      <c r="D27" s="27" t="n">
        <f aca="false">IFERROR(D5/D3,"")</f>
        <v>0.20038830983037</v>
      </c>
      <c r="E27" s="27" t="n">
        <f aca="false">IFERROR(E5/E3,"")</f>
        <v>0.176979424485612</v>
      </c>
      <c r="F27" s="27" t="n">
        <f aca="false">IFERROR(F5/F3,"")</f>
        <v>0.212846564491131</v>
      </c>
      <c r="G27" s="27" t="n">
        <f aca="false">IFERROR(G5/G3,"")</f>
        <v>0.253889969435954</v>
      </c>
      <c r="H27" s="27" t="n">
        <f aca="false">IFERROR(H5/H3,"")</f>
        <v>0.215857726546</v>
      </c>
      <c r="I27" s="27" t="n">
        <f aca="false">IFERROR(I5/I3,"")</f>
        <v>0.167970344726228</v>
      </c>
      <c r="J27" s="27" t="n">
        <f aca="false">IFERROR(J5/J3,"")</f>
        <v>0.183855130315701</v>
      </c>
      <c r="K27" s="27" t="n">
        <f aca="false">IFERROR(K5/K3,"")</f>
        <v>0.17102719243341</v>
      </c>
      <c r="L27" s="27" t="n">
        <f aca="false">IFERROR(L5/L3,"")</f>
        <v>0.187890957770476</v>
      </c>
    </row>
    <row r="28" customFormat="false" ht="15" hidden="false" customHeight="true" outlineLevel="0" collapsed="false">
      <c r="A28" s="6" t="s">
        <v>224</v>
      </c>
      <c r="B28" s="23"/>
      <c r="C28" s="27"/>
      <c r="D28" s="27" t="n">
        <f aca="false">IFERROR(D3/C3-1,"")</f>
        <v>0.228830940521535</v>
      </c>
      <c r="E28" s="27" t="n">
        <f aca="false">IFERROR(E3/D3-1,"")</f>
        <v>0.362456570611077</v>
      </c>
      <c r="F28" s="27" t="n">
        <f aca="false">IFERROR(F3/E3-1,"")</f>
        <v>0.0162504062601565</v>
      </c>
      <c r="G28" s="27" t="n">
        <f aca="false">IFERROR(G3/F3-1,"")</f>
        <v>0.0624615611700166</v>
      </c>
      <c r="H28" s="27" t="n">
        <f aca="false">IFERROR(H3/G3-1,"")</f>
        <v>0.173080485319996</v>
      </c>
      <c r="I28" s="27" t="n">
        <f aca="false">IFERROR(I3/H3-1,"")</f>
        <v>0.20871247261315</v>
      </c>
      <c r="J28" s="27" t="n">
        <f aca="false">IFERROR(J3/I3-1,"")</f>
        <v>0.120907294609468</v>
      </c>
      <c r="K28" s="27" t="n">
        <f aca="false">IFERROR(K3/J3-1,"")</f>
        <v>0.0474060692588978</v>
      </c>
      <c r="L28" s="27" t="n">
        <f aca="false">IFERROR(L3/K3-1,"")</f>
        <v>0.142916753598999</v>
      </c>
    </row>
    <row r="29" customFormat="false" ht="15" hidden="false" customHeight="true" outlineLevel="0" collapsed="false">
      <c r="A29" s="6" t="s">
        <v>225</v>
      </c>
      <c r="B29" s="23"/>
      <c r="C29" s="28" t="n">
        <f aca="false">IFERROR(C3*10000000/(C2*1000000),"")</f>
        <v>4888.68426437487</v>
      </c>
      <c r="D29" s="28" t="n">
        <f aca="false">IFERROR(D3*10000000/(D2*1000000),"")</f>
        <v>4948.25551997303</v>
      </c>
      <c r="E29" s="28" t="n">
        <f aca="false">IFERROR(E3*10000000/(E2*1000000),"")</f>
        <v>4951.59692993315</v>
      </c>
      <c r="F29" s="28" t="n">
        <f aca="false">IFERROR(F3*10000000/(F2*1000000),"")</f>
        <v>5247.74076942938</v>
      </c>
      <c r="G29" s="28" t="n">
        <f aca="false">IFERROR(G3*10000000/(G2*1000000),"")</f>
        <v>5315.44615384615</v>
      </c>
      <c r="H29" s="28" t="n">
        <f aca="false">IFERROR(H3*10000000/(H2*1000000),"")</f>
        <v>5755.85094296751</v>
      </c>
      <c r="I29" s="28" t="n">
        <f aca="false">IFERROR(I3*10000000/(I2*1000000),"")</f>
        <v>6120.02798321007</v>
      </c>
      <c r="J29" s="28" t="n">
        <f aca="false">IFERROR(J3*10000000/(J2*1000000),"")</f>
        <v>6084.65561563691</v>
      </c>
      <c r="K29" s="28" t="n">
        <f aca="false">IFERROR(K3*10000000/(K2*1000000),"")</f>
        <v>5714.56958906287</v>
      </c>
      <c r="L29" s="28" t="n">
        <f aca="false">IFERROR(L3*10000000/(L2*1000000),"")</f>
        <v>5838.01065719361</v>
      </c>
    </row>
    <row r="30" customFormat="false" ht="15" hidden="false" customHeight="true" outlineLevel="0" collapsed="false">
      <c r="A30" s="6" t="s">
        <v>226</v>
      </c>
      <c r="B30" s="23"/>
      <c r="C30" s="28" t="n">
        <f aca="false">C14+C17</f>
        <v>23546</v>
      </c>
      <c r="D30" s="28" t="n">
        <f aca="false">D14+D17</f>
        <v>40354</v>
      </c>
      <c r="E30" s="28" t="n">
        <f aca="false">E14+E17</f>
        <v>49969</v>
      </c>
      <c r="F30" s="28" t="n">
        <f aca="false">F14+F17</f>
        <v>49676</v>
      </c>
      <c r="G30" s="28" t="n">
        <f aca="false">G14+G17</f>
        <v>46974</v>
      </c>
      <c r="H30" s="28" t="n">
        <f aca="false">H14+H17</f>
        <v>50986</v>
      </c>
      <c r="I30" s="28" t="n">
        <f aca="false">I14+I17</f>
        <v>59937</v>
      </c>
      <c r="J30" s="28" t="n">
        <f aca="false">J14+J17</f>
        <v>65294</v>
      </c>
      <c r="K30" s="28" t="n">
        <f aca="false">K14+K17</f>
        <v>81733</v>
      </c>
      <c r="L30" s="28" t="n">
        <f aca="false">L14+L17</f>
        <v>86090</v>
      </c>
    </row>
    <row r="31" customFormat="false" ht="15" hidden="false" customHeight="true" outlineLevel="0" collapsed="false">
      <c r="A31" s="6" t="s">
        <v>227</v>
      </c>
      <c r="B31" s="23"/>
      <c r="C31" s="28" t="n">
        <f aca="false">C8*(1-'UTCL-Assumptions'!$C$4)</f>
        <v>4361</v>
      </c>
      <c r="D31" s="28" t="n">
        <f aca="false">D8*(1-'UTCL-Assumptions'!$C$4)</f>
        <v>4719</v>
      </c>
      <c r="E31" s="28" t="n">
        <f aca="false">E8*(1-'UTCL-Assumptions'!$C$4)</f>
        <v>5255</v>
      </c>
      <c r="F31" s="28" t="n">
        <f aca="false">F8*(1-'UTCL-Assumptions'!$C$4)</f>
        <v>6924</v>
      </c>
      <c r="G31" s="28" t="n">
        <f aca="false">G8*(1-'UTCL-Assumptions'!$C$4)</f>
        <v>9319</v>
      </c>
      <c r="H31" s="28" t="n">
        <f aca="false">H8*(1-'UTCL-Assumptions'!$C$4)</f>
        <v>9091</v>
      </c>
      <c r="I31" s="28" t="n">
        <f aca="false">I8*(1-'UTCL-Assumptions'!$C$4)</f>
        <v>8018</v>
      </c>
      <c r="J31" s="28" t="n">
        <f aca="false">J8*(1-'UTCL-Assumptions'!$C$4)</f>
        <v>10255</v>
      </c>
      <c r="K31" s="28" t="n">
        <f aca="false">K8*(1-'UTCL-Assumptions'!$C$4)</f>
        <v>9250</v>
      </c>
      <c r="L31" s="28" t="n">
        <f aca="false">L8*(1-'UTCL-Assumptions'!$C$4)</f>
        <v>11761</v>
      </c>
    </row>
    <row r="32" customFormat="false" ht="15" hidden="false" customHeight="true" outlineLevel="0" collapsed="false">
      <c r="A32" s="6" t="s">
        <v>228</v>
      </c>
      <c r="B32" s="23"/>
      <c r="C32" s="27"/>
      <c r="D32" s="27" t="n">
        <f aca="false">IFERROR(D31/C30,"")</f>
        <v>0.200416206574365</v>
      </c>
      <c r="E32" s="27" t="n">
        <f aca="false">IFERROR(E31/D30,"")</f>
        <v>0.130222530604153</v>
      </c>
      <c r="F32" s="27" t="n">
        <f aca="false">IFERROR(F31/E30,"")</f>
        <v>0.138565910864736</v>
      </c>
      <c r="G32" s="27" t="n">
        <f aca="false">IFERROR(G31/F30,"")</f>
        <v>0.187595619615106</v>
      </c>
      <c r="H32" s="27" t="n">
        <f aca="false">IFERROR(H31/G30,"")</f>
        <v>0.193532592497978</v>
      </c>
      <c r="I32" s="27" t="n">
        <f aca="false">IFERROR(I31/H30,"")</f>
        <v>0.157258855372063</v>
      </c>
      <c r="J32" s="27" t="n">
        <f aca="false">IFERROR(J31/I30,"")</f>
        <v>0.171096317800357</v>
      </c>
      <c r="K32" s="27" t="n">
        <f aca="false">IFERROR(K31/J30,"")</f>
        <v>0.141666921922382</v>
      </c>
      <c r="L32" s="27" t="n">
        <f aca="false">IFERROR(L31/K30,"")</f>
        <v>0.143895366620582</v>
      </c>
    </row>
    <row r="33" customFormat="false" ht="15" hidden="false" customHeight="true" outlineLevel="0" collapsed="false">
      <c r="A33" s="6" t="s">
        <v>229</v>
      </c>
      <c r="B33" s="23"/>
      <c r="C33" s="27" t="n">
        <f aca="false">IFERROR(C12/(C10+C11),"")</f>
        <v>0.304025423728814</v>
      </c>
      <c r="D33" s="27" t="n">
        <f aca="false">IFERROR(D12/(D10+D11),"")</f>
        <v>0.32434887946699</v>
      </c>
      <c r="E33" s="27" t="n">
        <f aca="false">IFERROR(E12/(E10+E11),"")</f>
        <v>0.309278350515464</v>
      </c>
      <c r="F33" s="27" t="n">
        <f aca="false">IFERROR(F12/(F10+F11),"")</f>
        <v>-0.0452107279693487</v>
      </c>
      <c r="G33" s="27" t="n">
        <f aca="false">IFERROR(G12/(G10+G11),"")</f>
        <v>0.323454913880446</v>
      </c>
      <c r="H33" s="27" t="n">
        <f aca="false">IFERROR(H12/(H10+H11),"")</f>
        <v>0.147956107560593</v>
      </c>
      <c r="I33" s="27" t="n">
        <f aca="false">IFERROR(I12/(I10+I11),"")</f>
        <v>0.31809418892867</v>
      </c>
      <c r="J33" s="27" t="n">
        <f aca="false">IFERROR(J12/(J10+J11),"")</f>
        <v>0.258802060970374</v>
      </c>
      <c r="K33" s="27" t="n">
        <f aca="false">IFERROR(K12/(K10+K11),"")</f>
        <v>0.19540080550864</v>
      </c>
      <c r="L33" s="27" t="n">
        <f aca="false">IFERROR(L12/(L10+L11),"")</f>
        <v>0.261493966291014</v>
      </c>
    </row>
    <row r="34" customFormat="false" ht="15" hidden="false" customHeight="true" outlineLevel="0" collapsed="false">
      <c r="A34" s="6" t="s">
        <v>230</v>
      </c>
      <c r="B34" s="23"/>
      <c r="C34" s="28" t="n">
        <f aca="false">C21+C22-C16</f>
        <v>-2423</v>
      </c>
      <c r="D34" s="28" t="n">
        <f aca="false">D21+D22-D16</f>
        <v>12008</v>
      </c>
      <c r="E34" s="28" t="n">
        <f aca="false">E21+E22-E16</f>
        <v>17413</v>
      </c>
      <c r="F34" s="28" t="n">
        <f aca="false">F21+F22-F16</f>
        <v>13293</v>
      </c>
      <c r="G34" s="28" t="n">
        <f aca="false">G21+G22-G16</f>
        <v>4733</v>
      </c>
      <c r="H34" s="28" t="n">
        <f aca="false">H21+H22-H16</f>
        <v>4661</v>
      </c>
      <c r="I34" s="28" t="n">
        <f aca="false">I21+I22-I16</f>
        <v>3457</v>
      </c>
      <c r="J34" s="28" t="n">
        <f aca="false">J21+J22-J16</f>
        <v>1994</v>
      </c>
      <c r="K34" s="28" t="n">
        <f aca="false">K21+K22-K16</f>
        <v>16857</v>
      </c>
      <c r="L34" s="28" t="n">
        <f aca="false">L21+L22-L16</f>
        <v>15462</v>
      </c>
    </row>
    <row r="36" customFormat="false" ht="75" hidden="false" customHeight="true" outlineLevel="0" collapsed="false">
      <c r="A36" s="16" t="s">
        <v>231</v>
      </c>
      <c r="B36" s="16"/>
      <c r="C36" s="16"/>
      <c r="D36" s="16"/>
      <c r="E36" s="16"/>
      <c r="F36" s="16"/>
      <c r="G36" s="16"/>
      <c r="H36" s="16"/>
      <c r="I36" s="16"/>
      <c r="J36" s="16"/>
      <c r="K36" s="16"/>
      <c r="L36" s="16"/>
    </row>
  </sheetData>
  <mergeCells count="2">
    <mergeCell ref="A26:L26"/>
    <mergeCell ref="A36:L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0"/>
    <col collapsed="false" customWidth="true" hidden="false" outlineLevel="0" max="4" min="3" style="1" width="15"/>
    <col collapsed="false" customWidth="true" hidden="false" outlineLevel="0" max="5" min="5" style="1" width="58"/>
  </cols>
  <sheetData>
    <row r="1" customFormat="false" ht="15.75" hidden="false" customHeight="true" outlineLevel="0" collapsed="false">
      <c r="A1" s="29" t="s">
        <v>232</v>
      </c>
    </row>
    <row r="2" customFormat="false" ht="15" hidden="false" customHeight="true" outlineLevel="0" collapsed="false">
      <c r="A2" s="3" t="s">
        <v>233</v>
      </c>
    </row>
    <row r="4" customFormat="false" ht="15" hidden="false" customHeight="true" outlineLevel="0" collapsed="false">
      <c r="A4" s="26" t="s">
        <v>234</v>
      </c>
      <c r="B4" s="26"/>
      <c r="C4" s="26"/>
      <c r="D4" s="26"/>
      <c r="E4" s="26"/>
    </row>
    <row r="5" customFormat="false" ht="15" hidden="false" customHeight="true" outlineLevel="0" collapsed="false">
      <c r="A5" s="4" t="s">
        <v>235</v>
      </c>
      <c r="B5" s="4" t="s">
        <v>186</v>
      </c>
      <c r="C5" s="4" t="s">
        <v>94</v>
      </c>
      <c r="D5" s="4"/>
      <c r="E5" s="4" t="s">
        <v>236</v>
      </c>
    </row>
    <row r="6" customFormat="false" ht="15" hidden="false" customHeight="true" outlineLevel="0" collapsed="false">
      <c r="A6" s="6" t="s">
        <v>237</v>
      </c>
      <c r="B6" s="3" t="s">
        <v>200</v>
      </c>
      <c r="C6" s="30" t="s">
        <v>238</v>
      </c>
      <c r="E6" s="31" t="s">
        <v>55</v>
      </c>
    </row>
    <row r="7" customFormat="false" ht="15" hidden="false" customHeight="true" outlineLevel="0" collapsed="false">
      <c r="A7" s="6" t="s">
        <v>239</v>
      </c>
      <c r="B7" s="3" t="s">
        <v>200</v>
      </c>
      <c r="C7" s="30" t="s">
        <v>240</v>
      </c>
      <c r="E7" s="31" t="s">
        <v>241</v>
      </c>
    </row>
    <row r="8" customFormat="false" ht="15" hidden="false" customHeight="true" outlineLevel="0" collapsed="false">
      <c r="A8" s="6" t="s">
        <v>223</v>
      </c>
      <c r="B8" s="3" t="s">
        <v>200</v>
      </c>
      <c r="C8" s="30" t="s">
        <v>242</v>
      </c>
    </row>
    <row r="9" customFormat="false" ht="15" hidden="false" customHeight="true" outlineLevel="0" collapsed="false">
      <c r="A9" s="6" t="s">
        <v>243</v>
      </c>
      <c r="B9" s="3" t="s">
        <v>200</v>
      </c>
      <c r="C9" s="30" t="s">
        <v>244</v>
      </c>
    </row>
    <row r="10" customFormat="false" ht="15" hidden="false" customHeight="true" outlineLevel="0" collapsed="false">
      <c r="A10" s="6" t="s">
        <v>245</v>
      </c>
      <c r="B10" s="3" t="s">
        <v>200</v>
      </c>
      <c r="C10" s="30" t="s">
        <v>246</v>
      </c>
    </row>
    <row r="11" customFormat="false" ht="15" hidden="false" customHeight="true" outlineLevel="0" collapsed="false">
      <c r="A11" s="6" t="s">
        <v>217</v>
      </c>
      <c r="B11" s="3" t="s">
        <v>200</v>
      </c>
      <c r="C11" s="30" t="s">
        <v>247</v>
      </c>
    </row>
    <row r="13" customFormat="false" ht="15" hidden="false" customHeight="true" outlineLevel="0" collapsed="false">
      <c r="A13" s="26" t="s">
        <v>248</v>
      </c>
      <c r="B13" s="26"/>
      <c r="C13" s="26"/>
      <c r="D13" s="26"/>
      <c r="E13" s="26"/>
    </row>
    <row r="14" customFormat="false" ht="26.25" hidden="false" customHeight="true" outlineLevel="0" collapsed="false">
      <c r="A14" s="4" t="s">
        <v>249</v>
      </c>
      <c r="B14" s="4" t="s">
        <v>250</v>
      </c>
      <c r="C14" s="4" t="s">
        <v>251</v>
      </c>
      <c r="D14" s="4" t="s">
        <v>252</v>
      </c>
      <c r="E14" s="4" t="s">
        <v>253</v>
      </c>
    </row>
    <row r="15" customFormat="false" ht="30" hidden="false" customHeight="true" outlineLevel="0" collapsed="false">
      <c r="A15" s="6" t="s">
        <v>254</v>
      </c>
      <c r="B15" s="5" t="s">
        <v>255</v>
      </c>
      <c r="C15" s="25" t="n">
        <v>8970.17</v>
      </c>
      <c r="D15" s="32" t="n">
        <f aca="false">C15/'UTCL-Assumptions'!$B$5</f>
        <v>304.403760010859</v>
      </c>
      <c r="E15" s="31" t="s">
        <v>256</v>
      </c>
    </row>
    <row r="16" customFormat="false" ht="30" hidden="false" customHeight="true" outlineLevel="0" collapsed="false">
      <c r="A16" s="6" t="s">
        <v>257</v>
      </c>
      <c r="B16" s="5" t="s">
        <v>258</v>
      </c>
      <c r="C16" s="25" t="n">
        <v>3570.83</v>
      </c>
      <c r="D16" s="32" t="n">
        <f aca="false">C16/'UTCL-Assumptions'!$B$5</f>
        <v>121.176530473734</v>
      </c>
      <c r="E16" s="31" t="s">
        <v>259</v>
      </c>
    </row>
    <row r="17" customFormat="false" ht="15" hidden="false" customHeight="true" outlineLevel="0" collapsed="false">
      <c r="A17" s="6" t="s">
        <v>213</v>
      </c>
      <c r="B17" s="5" t="s">
        <v>260</v>
      </c>
      <c r="C17" s="25" t="n">
        <v>5018</v>
      </c>
      <c r="D17" s="32" t="n">
        <f aca="false">C17/'UTCL-Assumptions'!$B$5</f>
        <v>170.28641237953</v>
      </c>
      <c r="E17" s="31" t="s">
        <v>261</v>
      </c>
    </row>
    <row r="19" customFormat="false" ht="15" hidden="false" customHeight="true" outlineLevel="0" collapsed="false">
      <c r="A19" s="26" t="s">
        <v>262</v>
      </c>
      <c r="B19" s="26"/>
      <c r="C19" s="26"/>
      <c r="D19" s="26"/>
      <c r="E19" s="26"/>
    </row>
    <row r="20" customFormat="false" ht="75" hidden="false" customHeight="true" outlineLevel="0" collapsed="false">
      <c r="A20" s="16" t="s">
        <v>263</v>
      </c>
      <c r="B20" s="16"/>
      <c r="C20" s="16"/>
      <c r="D20" s="16"/>
      <c r="E20" s="16"/>
    </row>
    <row r="24" customFormat="false" ht="105" hidden="false" customHeight="true" outlineLevel="0" collapsed="false">
      <c r="A24" s="33" t="s">
        <v>264</v>
      </c>
      <c r="B24" s="33"/>
      <c r="C24" s="33"/>
      <c r="D24" s="33"/>
      <c r="E24" s="33"/>
    </row>
    <row r="30" customFormat="false" ht="15" hidden="false" customHeight="true" outlineLevel="0" collapsed="false">
      <c r="A30" s="26" t="s">
        <v>265</v>
      </c>
      <c r="B30" s="26"/>
      <c r="C30" s="26"/>
      <c r="D30" s="26"/>
      <c r="E30" s="26"/>
    </row>
    <row r="31" customFormat="false" ht="15" hidden="false" customHeight="true" outlineLevel="0" collapsed="false">
      <c r="A31" s="6" t="s">
        <v>266</v>
      </c>
      <c r="C31" s="34" t="n">
        <f aca="false">'UTCL-FCFF valuation'!C9</f>
        <v>171426.715486883</v>
      </c>
    </row>
    <row r="32" customFormat="false" ht="15" hidden="false" customHeight="true" outlineLevel="0" collapsed="false">
      <c r="A32" s="6" t="s">
        <v>267</v>
      </c>
      <c r="C32" s="25" t="n">
        <v>5018</v>
      </c>
    </row>
    <row r="33" customFormat="false" ht="15" hidden="false" customHeight="true" outlineLevel="0" collapsed="false">
      <c r="A33" s="6" t="s">
        <v>268</v>
      </c>
      <c r="C33" s="25" t="n">
        <v>12541</v>
      </c>
    </row>
    <row r="34" customFormat="false" ht="15" hidden="false" customHeight="true" outlineLevel="0" collapsed="false">
      <c r="A34" s="6" t="s">
        <v>269</v>
      </c>
      <c r="C34" s="25" t="n">
        <v>-19617</v>
      </c>
    </row>
    <row r="35" customFormat="false" ht="15" hidden="false" customHeight="true" outlineLevel="0" collapsed="false">
      <c r="A35" s="6" t="s">
        <v>270</v>
      </c>
      <c r="C35" s="25" t="n">
        <v>-863</v>
      </c>
    </row>
    <row r="36" customFormat="false" ht="15" hidden="false" customHeight="true" outlineLevel="0" collapsed="false">
      <c r="A36" s="6" t="s">
        <v>271</v>
      </c>
      <c r="C36" s="35" t="n">
        <f aca="false">SUM(C31:C35)</f>
        <v>168505.715486883</v>
      </c>
    </row>
    <row r="37" customFormat="false" ht="15" hidden="false" customHeight="true" outlineLevel="0" collapsed="false">
      <c r="A37" s="6" t="s">
        <v>272</v>
      </c>
      <c r="C37" s="36" t="n">
        <f aca="false">C36/'UTCL-Assumptions'!$B$5</f>
        <v>5718.26101150003</v>
      </c>
    </row>
    <row r="40" customFormat="false" ht="15" hidden="false" customHeight="true" outlineLevel="0" collapsed="false">
      <c r="A40" s="8" t="s">
        <v>273</v>
      </c>
      <c r="B40" s="8"/>
      <c r="C40" s="8"/>
      <c r="D40" s="8"/>
      <c r="E40" s="8"/>
    </row>
    <row r="41" customFormat="false" ht="15" hidden="false" customHeight="true" outlineLevel="0" collapsed="false">
      <c r="A41" s="17" t="s">
        <v>235</v>
      </c>
      <c r="B41" s="17" t="s">
        <v>186</v>
      </c>
      <c r="C41" s="17" t="s">
        <v>274</v>
      </c>
      <c r="D41" s="17" t="s">
        <v>275</v>
      </c>
      <c r="E41" s="17" t="s">
        <v>276</v>
      </c>
    </row>
    <row r="42" customFormat="false" ht="15" hidden="false" customHeight="true" outlineLevel="0" collapsed="false">
      <c r="A42" s="5" t="s">
        <v>277</v>
      </c>
      <c r="B42" s="3" t="s">
        <v>200</v>
      </c>
      <c r="C42" s="25" t="n">
        <v>82169.65</v>
      </c>
      <c r="D42" s="25" t="n">
        <v>88511.53</v>
      </c>
      <c r="E42" s="28" t="n">
        <f aca="false">D42-C42</f>
        <v>6341.88000000001</v>
      </c>
    </row>
    <row r="43" customFormat="false" ht="15" hidden="false" customHeight="true" outlineLevel="0" collapsed="false">
      <c r="A43" s="5" t="s">
        <v>203</v>
      </c>
      <c r="B43" s="3" t="s">
        <v>200</v>
      </c>
      <c r="C43" s="25" t="n">
        <v>376.43</v>
      </c>
      <c r="D43" s="25" t="n">
        <v>577.51</v>
      </c>
      <c r="E43" s="28" t="n">
        <f aca="false">D43-C43</f>
        <v>201.08</v>
      </c>
    </row>
    <row r="44" customFormat="false" ht="15" hidden="false" customHeight="true" outlineLevel="0" collapsed="false">
      <c r="A44" s="5" t="s">
        <v>278</v>
      </c>
      <c r="B44" s="3" t="s">
        <v>200</v>
      </c>
      <c r="C44" s="25" t="n">
        <v>1630</v>
      </c>
      <c r="D44" s="25" t="n">
        <v>1871.71</v>
      </c>
      <c r="E44" s="28" t="n">
        <f aca="false">D44-C44</f>
        <v>241.71</v>
      </c>
    </row>
    <row r="45" customFormat="false" ht="15" hidden="false" customHeight="true" outlineLevel="0" collapsed="false">
      <c r="A45" s="5" t="s">
        <v>204</v>
      </c>
      <c r="B45" s="3" t="s">
        <v>200</v>
      </c>
      <c r="C45" s="25" t="n">
        <v>4055.08</v>
      </c>
      <c r="D45" s="25" t="n">
        <v>4644.46</v>
      </c>
      <c r="E45" s="28" t="n">
        <f aca="false">D45-C45</f>
        <v>589.38</v>
      </c>
    </row>
    <row r="46" customFormat="false" ht="15" hidden="false" customHeight="true" outlineLevel="0" collapsed="false">
      <c r="A46" s="5" t="s">
        <v>279</v>
      </c>
      <c r="B46" s="3" t="s">
        <v>200</v>
      </c>
      <c r="C46" s="25" t="n">
        <v>10130.58</v>
      </c>
      <c r="D46" s="25" t="n">
        <v>11081.57</v>
      </c>
      <c r="E46" s="28" t="n">
        <f aca="false">D46-C46</f>
        <v>950.99</v>
      </c>
    </row>
    <row r="47" customFormat="false" ht="15" hidden="false" customHeight="true" outlineLevel="0" collapsed="false">
      <c r="A47" s="6" t="s">
        <v>280</v>
      </c>
      <c r="C47" s="35" t="n">
        <f aca="false">C46+C44+C45-C43</f>
        <v>15439.23</v>
      </c>
      <c r="D47" s="35" t="n">
        <f aca="false">D46+D44+D45-D43</f>
        <v>17020.23</v>
      </c>
      <c r="E47" s="35" t="n">
        <f aca="false">E46+E44+E45-E43</f>
        <v>1581</v>
      </c>
    </row>
    <row r="48" customFormat="false" ht="15" hidden="false" customHeight="true" outlineLevel="0" collapsed="false">
      <c r="A48" s="6" t="s">
        <v>223</v>
      </c>
      <c r="C48" s="37" t="n">
        <f aca="false">C47/C42</f>
        <v>0.187894557175307</v>
      </c>
      <c r="D48" s="37" t="n">
        <f aca="false">D47/D42</f>
        <v>0.192293930519561</v>
      </c>
      <c r="E48" s="37" t="n">
        <f aca="false">E47/E42</f>
        <v>0.249295161687071</v>
      </c>
    </row>
    <row r="49" customFormat="false" ht="15" hidden="false" customHeight="true" outlineLevel="0" collapsed="false">
      <c r="A49" s="5" t="s">
        <v>281</v>
      </c>
      <c r="C49" s="27" t="n">
        <f aca="false">C42/D42</f>
        <v>0.928349673765667</v>
      </c>
      <c r="D49" s="27" t="n">
        <f aca="false">C47/D47</f>
        <v>0.907110538459234</v>
      </c>
      <c r="E49" s="3" t="s">
        <v>282</v>
      </c>
    </row>
    <row r="51" customFormat="false" ht="15" hidden="false" customHeight="true" outlineLevel="0" collapsed="false">
      <c r="A51" s="6" t="s">
        <v>283</v>
      </c>
      <c r="C51" s="25" t="n">
        <v>7909.05</v>
      </c>
    </row>
    <row r="52" customFormat="false" ht="15" hidden="false" customHeight="true" outlineLevel="0" collapsed="false">
      <c r="A52" s="6" t="s">
        <v>284</v>
      </c>
      <c r="C52" s="25" t="n">
        <v>4088.9</v>
      </c>
    </row>
    <row r="53" customFormat="false" ht="15" hidden="false" customHeight="true" outlineLevel="0" collapsed="false">
      <c r="A53" s="6" t="s">
        <v>285</v>
      </c>
      <c r="C53" s="25" t="n">
        <v>23755.09</v>
      </c>
    </row>
    <row r="54" customFormat="false" ht="15" hidden="false" customHeight="true" outlineLevel="0" collapsed="false">
      <c r="A54" s="6" t="s">
        <v>286</v>
      </c>
      <c r="C54" s="25" t="n">
        <v>20480</v>
      </c>
    </row>
    <row r="56" customFormat="false" ht="195" hidden="false" customHeight="true" outlineLevel="0" collapsed="false">
      <c r="A56" s="33" t="s">
        <v>287</v>
      </c>
      <c r="B56" s="33"/>
      <c r="C56" s="33"/>
      <c r="D56" s="33"/>
      <c r="E56" s="33"/>
    </row>
    <row r="59" customFormat="false" ht="15" hidden="false" customHeight="true" outlineLevel="0" collapsed="false">
      <c r="A59" s="8" t="s">
        <v>288</v>
      </c>
      <c r="B59" s="8"/>
      <c r="C59" s="8"/>
      <c r="D59" s="8"/>
      <c r="E59" s="8"/>
      <c r="F59" s="8"/>
    </row>
    <row r="60" customFormat="false" ht="15" hidden="false" customHeight="true" outlineLevel="0" collapsed="false">
      <c r="A60" s="6" t="s">
        <v>289</v>
      </c>
      <c r="C60" s="37" t="n">
        <v>0.928</v>
      </c>
    </row>
    <row r="61" customFormat="false" ht="15" hidden="false" customHeight="true" outlineLevel="0" collapsed="false">
      <c r="A61" s="6" t="s">
        <v>290</v>
      </c>
      <c r="C61" s="37" t="n">
        <v>0.907</v>
      </c>
    </row>
    <row r="62" customFormat="false" ht="15" hidden="false" customHeight="true" outlineLevel="0" collapsed="false">
      <c r="A62" s="6" t="s">
        <v>291</v>
      </c>
      <c r="C62" s="38" t="n">
        <v>1581.23</v>
      </c>
    </row>
    <row r="64" customFormat="false" ht="60" hidden="false" customHeight="true" outlineLevel="0" collapsed="false">
      <c r="A64" s="16" t="s">
        <v>292</v>
      </c>
      <c r="B64" s="16"/>
      <c r="C64" s="16"/>
      <c r="D64" s="16"/>
      <c r="E64" s="16"/>
      <c r="F64" s="16"/>
    </row>
    <row r="67" customFormat="false" ht="165" hidden="false" customHeight="true" outlineLevel="0" collapsed="false">
      <c r="A67" s="33" t="s">
        <v>293</v>
      </c>
      <c r="B67" s="33"/>
      <c r="C67" s="33"/>
      <c r="D67" s="33"/>
      <c r="E67" s="33"/>
    </row>
  </sheetData>
  <mergeCells count="11">
    <mergeCell ref="A4:E4"/>
    <mergeCell ref="A13:E13"/>
    <mergeCell ref="A19:E19"/>
    <mergeCell ref="A20:E20"/>
    <mergeCell ref="A24:E24"/>
    <mergeCell ref="A30:E30"/>
    <mergeCell ref="A40:E40"/>
    <mergeCell ref="A56:E56"/>
    <mergeCell ref="A59:F59"/>
    <mergeCell ref="A64:F64"/>
    <mergeCell ref="A67:E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0"/>
    <col collapsed="false" customWidth="true" hidden="false" outlineLevel="0" max="4" min="3" style="1" width="14"/>
    <col collapsed="false" customWidth="true" hidden="false" outlineLevel="0" max="5" min="5" style="1" width="62"/>
  </cols>
  <sheetData>
    <row r="1" customFormat="false" ht="15.75" hidden="false" customHeight="true" outlineLevel="0" collapsed="false">
      <c r="A1" s="29" t="s">
        <v>294</v>
      </c>
    </row>
    <row r="3" customFormat="false" ht="15" hidden="false" customHeight="true" outlineLevel="0" collapsed="false">
      <c r="A3" s="4" t="s">
        <v>49</v>
      </c>
      <c r="B3" s="4" t="s">
        <v>186</v>
      </c>
      <c r="C3" s="4" t="s">
        <v>295</v>
      </c>
      <c r="D3" s="4" t="s">
        <v>296</v>
      </c>
      <c r="E3" s="4" t="s">
        <v>297</v>
      </c>
    </row>
    <row r="4" customFormat="false" ht="60" hidden="false" customHeight="true" outlineLevel="0" collapsed="false">
      <c r="A4" s="6" t="s">
        <v>65</v>
      </c>
      <c r="B4" s="3" t="s">
        <v>200</v>
      </c>
      <c r="C4" s="25" t="n">
        <v>7871.47</v>
      </c>
      <c r="D4" s="38" t="n">
        <v>0</v>
      </c>
      <c r="E4" s="19" t="s">
        <v>298</v>
      </c>
    </row>
    <row r="5" customFormat="false" ht="45" hidden="false" customHeight="true" outlineLevel="0" collapsed="false">
      <c r="A5" s="6" t="s">
        <v>299</v>
      </c>
      <c r="B5" s="3" t="s">
        <v>200</v>
      </c>
      <c r="C5" s="25" t="n">
        <v>103.79</v>
      </c>
      <c r="D5" s="38" t="n">
        <v>0</v>
      </c>
      <c r="E5" s="19" t="s">
        <v>300</v>
      </c>
    </row>
    <row r="6" customFormat="false" ht="45" hidden="false" customHeight="true" outlineLevel="0" collapsed="false">
      <c r="A6" s="6" t="s">
        <v>203</v>
      </c>
      <c r="B6" s="3" t="s">
        <v>200</v>
      </c>
      <c r="C6" s="25" t="n">
        <v>376.43</v>
      </c>
      <c r="D6" s="38" t="n">
        <v>0</v>
      </c>
      <c r="E6" s="19" t="s">
        <v>301</v>
      </c>
    </row>
    <row r="7" customFormat="false" ht="45" hidden="false" customHeight="true" outlineLevel="0" collapsed="false">
      <c r="A7" s="6" t="s">
        <v>302</v>
      </c>
      <c r="B7" s="3" t="s">
        <v>303</v>
      </c>
      <c r="C7" s="39" t="n">
        <v>0.261</v>
      </c>
      <c r="D7" s="40" t="n">
        <v>0.25168</v>
      </c>
      <c r="E7" s="19" t="s">
        <v>304</v>
      </c>
    </row>
    <row r="8" customFormat="false" ht="60" hidden="false" customHeight="true" outlineLevel="0" collapsed="false">
      <c r="A8" s="6" t="s">
        <v>305</v>
      </c>
      <c r="B8" s="3" t="s">
        <v>200</v>
      </c>
      <c r="C8" s="25" t="n">
        <v>8970.17</v>
      </c>
      <c r="D8" s="38" t="n">
        <v>8970.17</v>
      </c>
      <c r="E8" s="19" t="s">
        <v>306</v>
      </c>
    </row>
    <row r="9" customFormat="false" ht="45" hidden="false" customHeight="true" outlineLevel="0" collapsed="false">
      <c r="A9" s="6" t="s">
        <v>307</v>
      </c>
      <c r="B9" s="3" t="s">
        <v>308</v>
      </c>
      <c r="C9" s="41" t="n">
        <v>0.86</v>
      </c>
      <c r="D9" s="42" t="n">
        <v>0.9</v>
      </c>
      <c r="E9" s="19" t="s">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11" min="2" style="1" width="11"/>
  </cols>
  <sheetData>
    <row r="1" customFormat="false" ht="15.75" hidden="false" customHeight="true" outlineLevel="0" collapsed="false">
      <c r="A1" s="29" t="s">
        <v>310</v>
      </c>
    </row>
    <row r="2" customFormat="false" ht="15" hidden="false" customHeight="true" outlineLevel="0" collapsed="false">
      <c r="A2" s="3" t="s">
        <v>311</v>
      </c>
    </row>
    <row r="4" customFormat="false" ht="15" hidden="false" customHeight="true" outlineLevel="0" collapsed="false">
      <c r="A4" s="4" t="s">
        <v>235</v>
      </c>
      <c r="B4" s="4" t="s">
        <v>187</v>
      </c>
      <c r="C4" s="4" t="s">
        <v>188</v>
      </c>
      <c r="D4" s="4" t="s">
        <v>189</v>
      </c>
      <c r="E4" s="4" t="s">
        <v>190</v>
      </c>
      <c r="F4" s="4" t="s">
        <v>191</v>
      </c>
      <c r="G4" s="4" t="s">
        <v>192</v>
      </c>
      <c r="H4" s="4" t="s">
        <v>193</v>
      </c>
      <c r="I4" s="4" t="s">
        <v>194</v>
      </c>
      <c r="J4" s="4" t="s">
        <v>195</v>
      </c>
      <c r="K4" s="4" t="s">
        <v>196</v>
      </c>
    </row>
    <row r="5" customFormat="false" ht="15" hidden="false" customHeight="true" outlineLevel="0" collapsed="false">
      <c r="A5" s="26" t="s">
        <v>312</v>
      </c>
      <c r="B5" s="26"/>
      <c r="C5" s="26"/>
      <c r="D5" s="26"/>
      <c r="E5" s="26"/>
      <c r="F5" s="26"/>
      <c r="G5" s="26"/>
      <c r="H5" s="26"/>
      <c r="I5" s="26"/>
      <c r="J5" s="26"/>
      <c r="K5" s="26"/>
    </row>
    <row r="6" customFormat="false" ht="15" hidden="false" customHeight="true" outlineLevel="0" collapsed="false">
      <c r="A6" s="5" t="s">
        <v>201</v>
      </c>
      <c r="B6" s="43" t="n">
        <f aca="false">'UTCL-Source Data'!C4/'UTCL-Source Data'!C3</f>
        <v>0.792013729019296</v>
      </c>
      <c r="C6" s="43" t="n">
        <f aca="false">'UTCL-Source Data'!D4/'UTCL-Source Data'!D3</f>
        <v>0.79961169016963</v>
      </c>
      <c r="D6" s="43" t="n">
        <f aca="false">'UTCL-Source Data'!E4/'UTCL-Source Data'!E3</f>
        <v>0.823020575514388</v>
      </c>
      <c r="E6" s="43" t="n">
        <f aca="false">'UTCL-Source Data'!F4/'UTCL-Source Data'!F3</f>
        <v>0.787153435508869</v>
      </c>
      <c r="F6" s="43" t="n">
        <f aca="false">'UTCL-Source Data'!G4/'UTCL-Source Data'!G3</f>
        <v>0.746133185144022</v>
      </c>
      <c r="G6" s="43" t="n">
        <f aca="false">'UTCL-Source Data'!H4/'UTCL-Source Data'!H3</f>
        <v>0.784142273454</v>
      </c>
      <c r="H6" s="43" t="n">
        <f aca="false">'UTCL-Source Data'!I4/'UTCL-Source Data'!I3</f>
        <v>0.832045985270343</v>
      </c>
      <c r="I6" s="43" t="n">
        <f aca="false">'UTCL-Source Data'!J4/'UTCL-Source Data'!J3</f>
        <v>0.816144869684299</v>
      </c>
      <c r="J6" s="43" t="n">
        <f aca="false">'UTCL-Source Data'!K4/'UTCL-Source Data'!K3</f>
        <v>0.82897280756659</v>
      </c>
      <c r="K6" s="43" t="n">
        <f aca="false">'UTCL-Source Data'!L4/'UTCL-Source Data'!L3</f>
        <v>0.812096872337836</v>
      </c>
    </row>
    <row r="7" customFormat="false" ht="15" hidden="false" customHeight="true" outlineLevel="0" collapsed="false">
      <c r="A7" s="6" t="s">
        <v>202</v>
      </c>
      <c r="B7" s="44" t="n">
        <f aca="false">'UTCL-Source Data'!C5/'UTCL-Source Data'!C3</f>
        <v>0.207986270980704</v>
      </c>
      <c r="C7" s="44" t="n">
        <f aca="false">'UTCL-Source Data'!D5/'UTCL-Source Data'!D3</f>
        <v>0.20038830983037</v>
      </c>
      <c r="D7" s="44" t="n">
        <f aca="false">'UTCL-Source Data'!E5/'UTCL-Source Data'!E3</f>
        <v>0.176979424485612</v>
      </c>
      <c r="E7" s="44" t="n">
        <f aca="false">'UTCL-Source Data'!F5/'UTCL-Source Data'!F3</f>
        <v>0.212846564491131</v>
      </c>
      <c r="F7" s="44" t="n">
        <f aca="false">'UTCL-Source Data'!G5/'UTCL-Source Data'!G3</f>
        <v>0.253889969435954</v>
      </c>
      <c r="G7" s="44" t="n">
        <f aca="false">'UTCL-Source Data'!H5/'UTCL-Source Data'!H3</f>
        <v>0.215857726546</v>
      </c>
      <c r="H7" s="44" t="n">
        <f aca="false">'UTCL-Source Data'!I5/'UTCL-Source Data'!I3</f>
        <v>0.167970344726228</v>
      </c>
      <c r="I7" s="44" t="n">
        <f aca="false">'UTCL-Source Data'!J5/'UTCL-Source Data'!J3</f>
        <v>0.183855130315701</v>
      </c>
      <c r="J7" s="44" t="n">
        <f aca="false">'UTCL-Source Data'!K5/'UTCL-Source Data'!K3</f>
        <v>0.17102719243341</v>
      </c>
      <c r="K7" s="44" t="n">
        <f aca="false">'UTCL-Source Data'!L5/'UTCL-Source Data'!L3</f>
        <v>0.187890957770476</v>
      </c>
    </row>
    <row r="8" customFormat="false" ht="15" hidden="false" customHeight="true" outlineLevel="0" collapsed="false">
      <c r="A8" s="5" t="s">
        <v>203</v>
      </c>
      <c r="B8" s="43" t="n">
        <f aca="false">'UTCL-Source Data'!C6/'UTCL-Source Data'!C3</f>
        <v>0.0276254656565234</v>
      </c>
      <c r="C8" s="43" t="n">
        <f aca="false">'UTCL-Source Data'!D6/'UTCL-Source Data'!D3</f>
        <v>0.0204373594931535</v>
      </c>
      <c r="D8" s="43" t="n">
        <f aca="false">'UTCL-Source Data'!E6/'UTCL-Source Data'!E3</f>
        <v>0.0124253106327658</v>
      </c>
      <c r="E8" s="43" t="n">
        <f aca="false">'UTCL-Source Data'!F6/'UTCL-Source Data'!F3</f>
        <v>0.017884818814731</v>
      </c>
      <c r="F8" s="43" t="n">
        <f aca="false">'UTCL-Source Data'!G6/'UTCL-Source Data'!G3</f>
        <v>0.0182689636010003</v>
      </c>
      <c r="G8" s="43" t="n">
        <f aca="false">'UTCL-Source Data'!H6/'UTCL-Source Data'!H3</f>
        <v>0.0120798215660344</v>
      </c>
      <c r="H8" s="43" t="n">
        <f aca="false">'UTCL-Source Data'!I6/'UTCL-Source Data'!I3</f>
        <v>0.00824664826820386</v>
      </c>
      <c r="I8" s="43" t="n">
        <f aca="false">'UTCL-Source Data'!J6/'UTCL-Source Data'!J3</f>
        <v>0.00964438163779665</v>
      </c>
      <c r="J8" s="43" t="n">
        <f aca="false">'UTCL-Source Data'!K6/'UTCL-Source Data'!K3</f>
        <v>0.00963905695806384</v>
      </c>
      <c r="K8" s="43" t="n">
        <f aca="false">'UTCL-Source Data'!L6/'UTCL-Source Data'!L3</f>
        <v>0.00457587927467446</v>
      </c>
    </row>
    <row r="9" customFormat="false" ht="15" hidden="false" customHeight="true" outlineLevel="0" collapsed="false">
      <c r="A9" s="5" t="s">
        <v>204</v>
      </c>
      <c r="B9" s="43" t="n">
        <f aca="false">'UTCL-Source Data'!C7/'UTCL-Source Data'!C3</f>
        <v>0.0530743794734419</v>
      </c>
      <c r="C9" s="43" t="n">
        <f aca="false">'UTCL-Source Data'!D7/'UTCL-Source Data'!D3</f>
        <v>0.0600858369098712</v>
      </c>
      <c r="D9" s="43" t="n">
        <f aca="false">'UTCL-Source Data'!E7/'UTCL-Source Data'!E3</f>
        <v>0.0580264506612665</v>
      </c>
      <c r="E9" s="43" t="n">
        <f aca="false">'UTCL-Source Data'!F7/'UTCL-Source Data'!F3</f>
        <v>0.0603950896701026</v>
      </c>
      <c r="F9" s="43" t="n">
        <f aca="false">'UTCL-Source Data'!G7/'UTCL-Source Data'!G3</f>
        <v>0.0563582476613874</v>
      </c>
      <c r="G9" s="43" t="n">
        <f aca="false">'UTCL-Source Data'!H7/'UTCL-Source Data'!H3</f>
        <v>0.0484969306989322</v>
      </c>
      <c r="H9" s="43" t="n">
        <f aca="false">'UTCL-Source Data'!I7/'UTCL-Source Data'!I3</f>
        <v>0.0452830804905531</v>
      </c>
      <c r="I9" s="43" t="n">
        <f aca="false">'UTCL-Source Data'!J7/'UTCL-Source Data'!J3</f>
        <v>0.0440990078815868</v>
      </c>
      <c r="J9" s="43" t="n">
        <f aca="false">'UTCL-Source Data'!K7/'UTCL-Source Data'!K3</f>
        <v>0.0520063982196258</v>
      </c>
      <c r="K9" s="43" t="n">
        <f aca="false">'UTCL-Source Data'!L7/'UTCL-Source Data'!L3</f>
        <v>0.0493489107946939</v>
      </c>
    </row>
    <row r="10" customFormat="false" ht="15" hidden="false" customHeight="true" outlineLevel="0" collapsed="false">
      <c r="A10" s="6" t="s">
        <v>205</v>
      </c>
      <c r="B10" s="44" t="n">
        <f aca="false">'UTCL-Source Data'!C8/'UTCL-Source Data'!C3</f>
        <v>0.182537357163786</v>
      </c>
      <c r="C10" s="44" t="n">
        <f aca="false">'UTCL-Source Data'!D8/'UTCL-Source Data'!D3</f>
        <v>0.160739832413652</v>
      </c>
      <c r="D10" s="44" t="n">
        <f aca="false">'UTCL-Source Data'!E8/'UTCL-Source Data'!E3</f>
        <v>0.131378284457111</v>
      </c>
      <c r="E10" s="44" t="n">
        <f aca="false">'UTCL-Source Data'!F8/'UTCL-Source Data'!F3</f>
        <v>0.17033629363576</v>
      </c>
      <c r="F10" s="44" t="n">
        <f aca="false">'UTCL-Source Data'!G8/'UTCL-Source Data'!G3</f>
        <v>0.215777530795591</v>
      </c>
      <c r="G10" s="44" t="n">
        <f aca="false">'UTCL-Source Data'!H8/'UTCL-Source Data'!H3</f>
        <v>0.179440617413102</v>
      </c>
      <c r="H10" s="44" t="n">
        <f aca="false">'UTCL-Source Data'!I8/'UTCL-Source Data'!I3</f>
        <v>0.130933912503878</v>
      </c>
      <c r="I10" s="44" t="n">
        <f aca="false">'UTCL-Source Data'!J8/'UTCL-Source Data'!J3</f>
        <v>0.14940050407191</v>
      </c>
      <c r="J10" s="44" t="n">
        <f aca="false">'UTCL-Source Data'!K8/'UTCL-Source Data'!K3</f>
        <v>0.128659851171848</v>
      </c>
      <c r="K10" s="44" t="n">
        <f aca="false">'UTCL-Source Data'!L8/'UTCL-Source Data'!L3</f>
        <v>0.143130096142144</v>
      </c>
    </row>
    <row r="11" customFormat="false" ht="15" hidden="false" customHeight="true" outlineLevel="0" collapsed="false">
      <c r="A11" s="5" t="s">
        <v>206</v>
      </c>
      <c r="B11" s="43" t="n">
        <f aca="false">'UTCL-Source Data'!C9/'UTCL-Source Data'!C3</f>
        <v>0.0239002134695073</v>
      </c>
      <c r="C11" s="43" t="n">
        <f aca="false">'UTCL-Source Data'!D9/'UTCL-Source Data'!D3</f>
        <v>0.0405681585939097</v>
      </c>
      <c r="D11" s="43" t="n">
        <f aca="false">'UTCL-Source Data'!E9/'UTCL-Source Data'!E3</f>
        <v>0.0412010300257506</v>
      </c>
      <c r="E11" s="43" t="n">
        <f aca="false">'UTCL-Source Data'!F9/'UTCL-Source Data'!F3</f>
        <v>0.0419198504268248</v>
      </c>
      <c r="F11" s="43" t="n">
        <f aca="false">'UTCL-Source Data'!G9/'UTCL-Source Data'!G3</f>
        <v>0.0291516161896823</v>
      </c>
      <c r="G11" s="43" t="n">
        <f aca="false">'UTCL-Source Data'!H9/'UTCL-Source Data'!H3</f>
        <v>0.0157511398851233</v>
      </c>
      <c r="H11" s="43" t="n">
        <f aca="false">'UTCL-Source Data'!I9/'UTCL-Source Data'!I3</f>
        <v>0.0123454774074497</v>
      </c>
      <c r="I11" s="43" t="n">
        <f aca="false">'UTCL-Source Data'!J9/'UTCL-Source Data'!J3</f>
        <v>0.0126309348640026</v>
      </c>
      <c r="J11" s="43" t="n">
        <f aca="false">'UTCL-Source Data'!K9/'UTCL-Source Data'!K3</f>
        <v>0.0203769385910008</v>
      </c>
      <c r="K11" s="43" t="n">
        <f aca="false">'UTCL-Source Data'!L9/'UTCL-Source Data'!L3</f>
        <v>0.0198369234513813</v>
      </c>
    </row>
    <row r="12" customFormat="false" ht="15" hidden="false" customHeight="true" outlineLevel="0" collapsed="false">
      <c r="A12" s="5" t="s">
        <v>207</v>
      </c>
      <c r="B12" s="43" t="n">
        <f aca="false">'UTCL-Source Data'!C10/'UTCL-Source Data'!C3</f>
        <v>0.158637143694278</v>
      </c>
      <c r="C12" s="43" t="n">
        <f aca="false">'UTCL-Source Data'!D10/'UTCL-Source Data'!D3</f>
        <v>0.120171673819742</v>
      </c>
      <c r="D12" s="43" t="n">
        <f aca="false">'UTCL-Source Data'!E10/'UTCL-Source Data'!E3</f>
        <v>0.0901522538063452</v>
      </c>
      <c r="E12" s="43" t="n">
        <f aca="false">'UTCL-Source Data'!F10/'UTCL-Source Data'!F3</f>
        <v>0.128416443208935</v>
      </c>
      <c r="F12" s="43" t="n">
        <f aca="false">'UTCL-Source Data'!G10/'UTCL-Source Data'!G3</f>
        <v>0.186625914605909</v>
      </c>
      <c r="G12" s="43" t="n">
        <f aca="false">'UTCL-Source Data'!H10/'UTCL-Source Data'!H3</f>
        <v>0.163689477527979</v>
      </c>
      <c r="H12" s="43" t="n">
        <f aca="false">'UTCL-Source Data'!I10/'UTCL-Source Data'!I3</f>
        <v>0.118588435096429</v>
      </c>
      <c r="I12" s="43" t="n">
        <f aca="false">'UTCL-Source Data'!J10/'UTCL-Source Data'!J3</f>
        <v>0.136769569207908</v>
      </c>
      <c r="J12" s="43" t="n">
        <f aca="false">'UTCL-Source Data'!K10/'UTCL-Source Data'!K3</f>
        <v>0.108282912580847</v>
      </c>
      <c r="K12" s="43" t="n">
        <f aca="false">'UTCL-Source Data'!L10/'UTCL-Source Data'!L3</f>
        <v>0.123293172690763</v>
      </c>
    </row>
    <row r="13" customFormat="false" ht="15" hidden="false" customHeight="true" outlineLevel="0" collapsed="false">
      <c r="A13" s="5" t="s">
        <v>209</v>
      </c>
      <c r="B13" s="43" t="n">
        <f aca="false">'UTCL-Source Data'!C12/'UTCL-Source Data'!C3</f>
        <v>0.0480515675358922</v>
      </c>
      <c r="C13" s="43" t="n">
        <f aca="false">'UTCL-Source Data'!D12/'UTCL-Source Data'!D3</f>
        <v>0.036480686695279</v>
      </c>
      <c r="D13" s="43" t="n">
        <f aca="false">'UTCL-Source Data'!E12/'UTCL-Source Data'!E3</f>
        <v>0.0270006750168754</v>
      </c>
      <c r="E13" s="43" t="n">
        <f aca="false">'UTCL-Source Data'!F12/'UTCL-Source Data'!F3</f>
        <v>-0.00580580088071047</v>
      </c>
      <c r="F13" s="43" t="n">
        <f aca="false">'UTCL-Source Data'!G12/'UTCL-Source Data'!G3</f>
        <v>0.0591367972584977</v>
      </c>
      <c r="G13" s="43" t="n">
        <f aca="false">'UTCL-Source Data'!H12/'UTCL-Source Data'!H3</f>
        <v>0.024218857943667</v>
      </c>
      <c r="H13" s="43" t="n">
        <f aca="false">'UTCL-Source Data'!I12/'UTCL-Source Data'!I3</f>
        <v>0.0377222920783187</v>
      </c>
      <c r="I13" s="43" t="n">
        <f aca="false">'UTCL-Source Data'!J12/'UTCL-Source Data'!J3</f>
        <v>0.0351247796506461</v>
      </c>
      <c r="J13" s="43" t="n">
        <f aca="false">'UTCL-Source Data'!K12/'UTCL-Source Data'!K3</f>
        <v>0.0209193963418875</v>
      </c>
      <c r="K13" s="43" t="n">
        <f aca="false">'UTCL-Source Data'!L12/'UTCL-Source Data'!L3</f>
        <v>0.0319094560058415</v>
      </c>
    </row>
    <row r="14" customFormat="false" ht="15" hidden="false" customHeight="true" outlineLevel="0" collapsed="false">
      <c r="A14" s="6" t="s">
        <v>210</v>
      </c>
      <c r="B14" s="44" t="n">
        <f aca="false">'UTCL-Source Data'!C13/'UTCL-Source Data'!C3</f>
        <v>0.109999581432339</v>
      </c>
      <c r="C14" s="44" t="n">
        <f aca="false">'UTCL-Source Data'!D13/'UTCL-Source Data'!D3</f>
        <v>0.075992915048709</v>
      </c>
      <c r="D14" s="44" t="n">
        <f aca="false">'UTCL-Source Data'!E13/'UTCL-Source Data'!E3</f>
        <v>0.0603015075376884</v>
      </c>
      <c r="E14" s="44" t="n">
        <f aca="false">'UTCL-Source Data'!F13/'UTCL-Source Data'!F3</f>
        <v>0.134222244089646</v>
      </c>
      <c r="F14" s="44" t="n">
        <f aca="false">'UTCL-Source Data'!G13/'UTCL-Source Data'!G3</f>
        <v>0.123691766231361</v>
      </c>
      <c r="G14" s="44" t="n">
        <f aca="false">'UTCL-Source Data'!H13/'UTCL-Source Data'!H3</f>
        <v>0.139490357854845</v>
      </c>
      <c r="H14" s="44" t="n">
        <f aca="false">'UTCL-Source Data'!I13/'UTCL-Source Data'!I3</f>
        <v>0.0808498130215393</v>
      </c>
      <c r="I14" s="44" t="n">
        <f aca="false">'UTCL-Source Data'!J13/'UTCL-Source Data'!J3</f>
        <v>0.100595853790009</v>
      </c>
      <c r="J14" s="44" t="n">
        <f aca="false">'UTCL-Source Data'!K13/'UTCL-Source Data'!K3</f>
        <v>0.0861395090061896</v>
      </c>
      <c r="K14" s="44" t="n">
        <f aca="false">'UTCL-Source Data'!L13/'UTCL-Source Data'!L3</f>
        <v>0.0901180479493733</v>
      </c>
    </row>
    <row r="16" customFormat="false" ht="15" hidden="false" customHeight="true" outlineLevel="0" collapsed="false">
      <c r="A16" s="26" t="s">
        <v>313</v>
      </c>
      <c r="B16" s="26"/>
      <c r="C16" s="26"/>
      <c r="D16" s="26"/>
      <c r="E16" s="26"/>
      <c r="F16" s="26"/>
      <c r="G16" s="26"/>
      <c r="H16" s="26"/>
      <c r="I16" s="26"/>
      <c r="J16" s="26"/>
      <c r="K16" s="26"/>
    </row>
    <row r="17" customFormat="false" ht="15" hidden="false" customHeight="true" outlineLevel="0" collapsed="false">
      <c r="A17" s="5" t="s">
        <v>211</v>
      </c>
      <c r="B17" s="43" t="n">
        <f aca="false">'UTCL-Source Data'!C14/'UTCL-Source Data'!C24</f>
        <v>0.740009103322713</v>
      </c>
      <c r="C17" s="43" t="n">
        <f aca="false">'UTCL-Source Data'!D14/'UTCL-Source Data'!D24</f>
        <v>0.876711739794054</v>
      </c>
      <c r="D17" s="43" t="n">
        <f aca="false">'UTCL-Source Data'!E14/'UTCL-Source Data'!E24</f>
        <v>0.837566110745003</v>
      </c>
      <c r="E17" s="43" t="n">
        <f aca="false">'UTCL-Source Data'!F14/'UTCL-Source Data'!F24</f>
        <v>0.80402287645415</v>
      </c>
      <c r="F17" s="43" t="n">
        <f aca="false">'UTCL-Source Data'!G14/'UTCL-Source Data'!G24</f>
        <v>0.734742696528422</v>
      </c>
      <c r="G17" s="43" t="n">
        <f aca="false">'UTCL-Source Data'!H14/'UTCL-Source Data'!H24</f>
        <v>0.805870457748637</v>
      </c>
      <c r="H17" s="43" t="n">
        <f aca="false">'UTCL-Source Data'!I14/'UTCL-Source Data'!I24</f>
        <v>0.909296659891306</v>
      </c>
      <c r="I17" s="43" t="n">
        <f aca="false">'UTCL-Source Data'!J14/'UTCL-Source Data'!J24</f>
        <v>0.930726811662261</v>
      </c>
      <c r="J17" s="43" t="n">
        <f aca="false">'UTCL-Source Data'!K14/'UTCL-Source Data'!K24</f>
        <v>0.852681298098457</v>
      </c>
      <c r="K17" s="43" t="n">
        <f aca="false">'UTCL-Source Data'!L14/'UTCL-Source Data'!L24</f>
        <v>0.860220552055495</v>
      </c>
    </row>
    <row r="18" customFormat="false" ht="15" hidden="false" customHeight="true" outlineLevel="0" collapsed="false">
      <c r="A18" s="5" t="s">
        <v>212</v>
      </c>
      <c r="B18" s="43" t="n">
        <f aca="false">'UTCL-Source Data'!C15/'UTCL-Source Data'!C24</f>
        <v>0.0226369291458049</v>
      </c>
      <c r="C18" s="43" t="n">
        <f aca="false">'UTCL-Source Data'!D15/'UTCL-Source Data'!D24</f>
        <v>0.0161446352946235</v>
      </c>
      <c r="D18" s="43" t="n">
        <f aca="false">'UTCL-Source Data'!E15/'UTCL-Source Data'!E24</f>
        <v>0.101181122319663</v>
      </c>
      <c r="E18" s="43" t="n">
        <f aca="false">'UTCL-Source Data'!F15/'UTCL-Source Data'!F24</f>
        <v>0.097322415025671</v>
      </c>
      <c r="F18" s="43" t="n">
        <f aca="false">'UTCL-Source Data'!G15/'UTCL-Source Data'!G24</f>
        <v>0.0946386388780911</v>
      </c>
      <c r="G18" s="43" t="n">
        <f aca="false">'UTCL-Source Data'!H15/'UTCL-Source Data'!H24</f>
        <v>0.125268092407623</v>
      </c>
      <c r="H18" s="43" t="n">
        <f aca="false">'UTCL-Source Data'!I15/'UTCL-Source Data'!I24</f>
        <v>0.0459427121624933</v>
      </c>
      <c r="I18" s="43" t="n">
        <f aca="false">'UTCL-Source Data'!J15/'UTCL-Source Data'!J24</f>
        <v>0.0297996806697884</v>
      </c>
      <c r="J18" s="43" t="n">
        <f aca="false">'UTCL-Source Data'!K15/'UTCL-Source Data'!K24</f>
        <v>0.132324198868032</v>
      </c>
      <c r="K18" s="43" t="n">
        <f aca="false">'UTCL-Source Data'!L15/'UTCL-Source Data'!L24</f>
        <v>0.120994896236336</v>
      </c>
    </row>
    <row r="19" customFormat="false" ht="15" hidden="false" customHeight="true" outlineLevel="0" collapsed="false">
      <c r="A19" s="5" t="s">
        <v>213</v>
      </c>
      <c r="B19" s="43" t="n">
        <f aca="false">'UTCL-Source Data'!C16/'UTCL-Source Data'!C24</f>
        <v>0.262873615536337</v>
      </c>
      <c r="C19" s="43" t="n">
        <f aca="false">'UTCL-Source Data'!D16/'UTCL-Source Data'!D24</f>
        <v>0.116344562203066</v>
      </c>
      <c r="D19" s="43" t="n">
        <f aca="false">'UTCL-Source Data'!E16/'UTCL-Source Data'!E24</f>
        <v>0.0544769436136598</v>
      </c>
      <c r="E19" s="43" t="n">
        <f aca="false">'UTCL-Source Data'!F16/'UTCL-Source Data'!F24</f>
        <v>0.0955676870085137</v>
      </c>
      <c r="F19" s="43" t="n">
        <f aca="false">'UTCL-Source Data'!G16/'UTCL-Source Data'!G24</f>
        <v>0.203061926262596</v>
      </c>
      <c r="G19" s="43" t="n">
        <f aca="false">'UTCL-Source Data'!H16/'UTCL-Source Data'!H24</f>
        <v>0.0936791470065568</v>
      </c>
      <c r="H19" s="43" t="n">
        <f aca="false">'UTCL-Source Data'!I16/'UTCL-Source Data'!I24</f>
        <v>0.0900402196946763</v>
      </c>
      <c r="I19" s="43" t="n">
        <f aca="false">'UTCL-Source Data'!J16/'UTCL-Source Data'!J24</f>
        <v>0.094135326240088</v>
      </c>
      <c r="J19" s="43" t="n">
        <f aca="false">'UTCL-Source Data'!K16/'UTCL-Source Data'!K24</f>
        <v>0.0356692047721813</v>
      </c>
      <c r="K19" s="43" t="n">
        <f aca="false">'UTCL-Source Data'!L16/'UTCL-Source Data'!L24</f>
        <v>0.0484133952088298</v>
      </c>
    </row>
    <row r="20" customFormat="false" ht="15" hidden="false" customHeight="true" outlineLevel="0" collapsed="false">
      <c r="A20" s="5" t="s">
        <v>214</v>
      </c>
      <c r="B20" s="43" t="n">
        <f aca="false">'UTCL-Source Data'!C17/'UTCL-Source Data'!C24</f>
        <v>-0.0255196480048551</v>
      </c>
      <c r="C20" s="43" t="n">
        <f aca="false">'UTCL-Source Data'!D17/'UTCL-Source Data'!D24</f>
        <v>-0.00920093729174281</v>
      </c>
      <c r="D20" s="43" t="n">
        <f aca="false">'UTCL-Source Data'!E17/'UTCL-Source Data'!E24</f>
        <v>0.00677582332167419</v>
      </c>
      <c r="E20" s="43" t="n">
        <f aca="false">'UTCL-Source Data'!F17/'UTCL-Source Data'!F24</f>
        <v>0.00308702151166569</v>
      </c>
      <c r="F20" s="43" t="n">
        <f aca="false">'UTCL-Source Data'!G17/'UTCL-Source Data'!G24</f>
        <v>-0.0324432616691086</v>
      </c>
      <c r="G20" s="43" t="n">
        <f aca="false">'UTCL-Source Data'!H17/'UTCL-Source Data'!H24</f>
        <v>-0.0247870580305166</v>
      </c>
      <c r="H20" s="43" t="n">
        <f aca="false">'UTCL-Source Data'!I17/'UTCL-Source Data'!I24</f>
        <v>-0.0452651760873013</v>
      </c>
      <c r="I20" s="43" t="n">
        <f aca="false">'UTCL-Source Data'!J17/'UTCL-Source Data'!J24</f>
        <v>-0.0546618185721378</v>
      </c>
      <c r="J20" s="43" t="n">
        <f aca="false">'UTCL-Source Data'!K17/'UTCL-Source Data'!K24</f>
        <v>-0.0206747017386701</v>
      </c>
      <c r="K20" s="43" t="n">
        <f aca="false">'UTCL-Source Data'!L17/'UTCL-Source Data'!L24</f>
        <v>-0.0296288435006609</v>
      </c>
    </row>
    <row r="21" customFormat="false" ht="15" hidden="false" customHeight="true" outlineLevel="0" collapsed="false">
      <c r="A21" s="5" t="s">
        <v>217</v>
      </c>
      <c r="B21" s="43" t="n">
        <f aca="false">'UTCL-Source Data'!C20/'UTCL-Source Data'!C24</f>
        <v>0.726475496889698</v>
      </c>
      <c r="C21" s="43" t="n">
        <f aca="false">'UTCL-Source Data'!D20/'UTCL-Source Data'!D24</f>
        <v>0.557280134144506</v>
      </c>
      <c r="D21" s="43" t="n">
        <f aca="false">'UTCL-Source Data'!E20/'UTCL-Source Data'!E24</f>
        <v>0.56262989810919</v>
      </c>
      <c r="E21" s="43" t="n">
        <f aca="false">'UTCL-Source Data'!F20/'UTCL-Source Data'!F24</f>
        <v>0.622213556898681</v>
      </c>
      <c r="F21" s="43" t="n">
        <f aca="false">'UTCL-Source Data'!G20/'UTCL-Source Data'!G24</f>
        <v>0.648162545226206</v>
      </c>
      <c r="G21" s="43" t="n">
        <f aca="false">'UTCL-Source Data'!H20/'UTCL-Source Data'!H24</f>
        <v>0.754810343771064</v>
      </c>
      <c r="H21" s="43" t="n">
        <f aca="false">'UTCL-Source Data'!I20/'UTCL-Source Data'!I24</f>
        <v>0.769911631997002</v>
      </c>
      <c r="I21" s="43" t="n">
        <f aca="false">'UTCL-Source Data'!J20/'UTCL-Source Data'!J24</f>
        <v>0.792891548483181</v>
      </c>
      <c r="J21" s="43" t="n">
        <f aca="false">'UTCL-Source Data'!K20/'UTCL-Source Data'!K24</f>
        <v>0.709291909279694</v>
      </c>
      <c r="K21" s="43" t="n">
        <f aca="false">'UTCL-Source Data'!L20/'UTCL-Source Data'!L24</f>
        <v>0.720344624646644</v>
      </c>
    </row>
    <row r="22" customFormat="false" ht="15" hidden="false" customHeight="true" outlineLevel="0" collapsed="false">
      <c r="A22" s="5" t="s">
        <v>218</v>
      </c>
      <c r="B22" s="43" t="n">
        <f aca="false">'UTCL-Source Data'!C21/'UTCL-Source Data'!C24</f>
        <v>0.189349112426036</v>
      </c>
      <c r="C22" s="43" t="n">
        <f aca="false">'UTCL-Source Data'!D21/'UTCL-Source Data'!D24</f>
        <v>0.374486746780747</v>
      </c>
      <c r="D22" s="43" t="n">
        <f aca="false">'UTCL-Source Data'!E21/'UTCL-Source Data'!E24</f>
        <v>0.348709889998479</v>
      </c>
      <c r="E22" s="43" t="n">
        <f aca="false">'UTCL-Source Data'!F21/'UTCL-Source Data'!F24</f>
        <v>0.297036459348801</v>
      </c>
      <c r="F22" s="43" t="n">
        <f aca="false">'UTCL-Source Data'!G21/'UTCL-Source Data'!G24</f>
        <v>0.258933110067877</v>
      </c>
      <c r="G22" s="43" t="n">
        <f aca="false">'UTCL-Source Data'!H21/'UTCL-Source Data'!H24</f>
        <v>0.151525828788529</v>
      </c>
      <c r="H22" s="43" t="n">
        <f aca="false">'UTCL-Source Data'!I21/'UTCL-Source Data'!I24</f>
        <v>0.126137035275123</v>
      </c>
      <c r="I22" s="43" t="n">
        <f aca="false">'UTCL-Source Data'!J21/'UTCL-Source Data'!J24</f>
        <v>0.108505185761629</v>
      </c>
      <c r="J22" s="43" t="n">
        <f aca="false">'UTCL-Source Data'!K21/'UTCL-Source Data'!K24</f>
        <v>0.198094384950527</v>
      </c>
      <c r="K22" s="43" t="n">
        <f aca="false">'UTCL-Source Data'!L21/'UTCL-Source Data'!L24</f>
        <v>0.189263765207576</v>
      </c>
    </row>
    <row r="23" customFormat="false" ht="15" hidden="false" customHeight="true" outlineLevel="0" collapsed="false">
      <c r="A23" s="5" t="s">
        <v>219</v>
      </c>
      <c r="B23" s="43" t="n">
        <f aca="false">'UTCL-Source Data'!C22/'UTCL-Source Data'!C24</f>
        <v>0</v>
      </c>
      <c r="C23" s="43" t="n">
        <f aca="false">'UTCL-Source Data'!D22/'UTCL-Source Data'!D24</f>
        <v>0</v>
      </c>
      <c r="D23" s="43" t="n">
        <f aca="false">'UTCL-Source Data'!E22/'UTCL-Source Data'!E24</f>
        <v>0</v>
      </c>
      <c r="E23" s="43" t="n">
        <f aca="false">'UTCL-Source Data'!F22/'UTCL-Source Data'!F24</f>
        <v>0.0145090011048288</v>
      </c>
      <c r="F23" s="43" t="n">
        <f aca="false">'UTCL-Source Data'!G22/'UTCL-Source Data'!G24</f>
        <v>0.014891008581766</v>
      </c>
      <c r="G23" s="43" t="n">
        <f aca="false">'UTCL-Source Data'!H22/'UTCL-Source Data'!H24</f>
        <v>0.0135578160426497</v>
      </c>
      <c r="H23" s="43" t="n">
        <f aca="false">'UTCL-Source Data'!I22/'UTCL-Source Data'!I24</f>
        <v>0.0137381250991077</v>
      </c>
      <c r="I23" s="43" t="n">
        <f aca="false">'UTCL-Source Data'!J22/'UTCL-Source Data'!J24</f>
        <v>0.0123841086259409</v>
      </c>
      <c r="J23" s="43" t="n">
        <f aca="false">'UTCL-Source Data'!K22/'UTCL-Source Data'!K24</f>
        <v>0.00917179038234456</v>
      </c>
      <c r="K23" s="43" t="n">
        <f aca="false">'UTCL-Source Data'!L22/'UTCL-Source Data'!L24</f>
        <v>0.00832617777306101</v>
      </c>
    </row>
    <row r="24" customFormat="false" ht="15" hidden="false" customHeight="true" outlineLevel="0" collapsed="false">
      <c r="A24" s="5" t="s">
        <v>220</v>
      </c>
      <c r="B24" s="43" t="n">
        <f aca="false">'UTCL-Source Data'!C23/'UTCL-Source Data'!C24</f>
        <v>0.0841753906842664</v>
      </c>
      <c r="C24" s="43" t="n">
        <f aca="false">'UTCL-Source Data'!D23/'UTCL-Source Data'!D24</f>
        <v>0.0682331190747469</v>
      </c>
      <c r="D24" s="43" t="n">
        <f aca="false">'UTCL-Source Data'!E23/'UTCL-Source Data'!E24</f>
        <v>0.0886602118923303</v>
      </c>
      <c r="E24" s="43" t="n">
        <f aca="false">'UTCL-Source Data'!F23/'UTCL-Source Data'!F24</f>
        <v>0.0662409826476896</v>
      </c>
      <c r="F24" s="43" t="n">
        <f aca="false">'UTCL-Source Data'!G23/'UTCL-Source Data'!G24</f>
        <v>0.0780282869359806</v>
      </c>
      <c r="G24" s="43" t="n">
        <f aca="false">'UTCL-Source Data'!H23/'UTCL-Source Data'!H24</f>
        <v>0.0801213309639071</v>
      </c>
      <c r="H24" s="43" t="n">
        <f aca="false">'UTCL-Source Data'!I23/'UTCL-Source Data'!I24</f>
        <v>0.0902132076287679</v>
      </c>
      <c r="I24" s="43" t="n">
        <f aca="false">'UTCL-Source Data'!J23/'UTCL-Source Data'!J24</f>
        <v>0.0862057398934672</v>
      </c>
      <c r="J24" s="43" t="n">
        <f aca="false">'UTCL-Source Data'!K23/'UTCL-Source Data'!K24</f>
        <v>0.0834520949550063</v>
      </c>
      <c r="K24" s="43" t="n">
        <f aca="false">'UTCL-Source Data'!L23/'UTCL-Source Data'!L24</f>
        <v>0.0820654323727195</v>
      </c>
    </row>
    <row r="26" customFormat="false" ht="90" hidden="false" customHeight="true" outlineLevel="0" collapsed="false">
      <c r="A26" s="16" t="s">
        <v>314</v>
      </c>
      <c r="B26" s="16"/>
      <c r="C26" s="16"/>
      <c r="D26" s="16"/>
      <c r="E26" s="16"/>
      <c r="F26" s="16"/>
      <c r="G26" s="16"/>
      <c r="H26" s="16"/>
      <c r="I26" s="16"/>
      <c r="J26" s="16"/>
      <c r="K26" s="16"/>
    </row>
  </sheetData>
  <mergeCells count="3">
    <mergeCell ref="A5:K5"/>
    <mergeCell ref="A16:K16"/>
    <mergeCell ref="A26:K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11" min="2" style="1" width="11"/>
  </cols>
  <sheetData>
    <row r="1" customFormat="false" ht="15.75" hidden="false" customHeight="true" outlineLevel="0" collapsed="false">
      <c r="A1" s="29" t="s">
        <v>315</v>
      </c>
    </row>
    <row r="2" customFormat="false" ht="15" hidden="false" customHeight="true" outlineLevel="0" collapsed="false">
      <c r="A2" s="3" t="s">
        <v>316</v>
      </c>
    </row>
    <row r="4" customFormat="false" ht="15" hidden="false" customHeight="true" outlineLevel="0" collapsed="false">
      <c r="A4" s="4" t="s">
        <v>317</v>
      </c>
      <c r="B4" s="4" t="s">
        <v>187</v>
      </c>
      <c r="C4" s="4" t="s">
        <v>188</v>
      </c>
      <c r="D4" s="4" t="s">
        <v>189</v>
      </c>
      <c r="E4" s="4" t="s">
        <v>190</v>
      </c>
      <c r="F4" s="4" t="s">
        <v>191</v>
      </c>
      <c r="G4" s="4" t="s">
        <v>192</v>
      </c>
      <c r="H4" s="4" t="s">
        <v>193</v>
      </c>
      <c r="I4" s="4" t="s">
        <v>194</v>
      </c>
      <c r="J4" s="4" t="s">
        <v>195</v>
      </c>
      <c r="K4" s="4" t="s">
        <v>196</v>
      </c>
    </row>
    <row r="5" customFormat="false" ht="15" hidden="false" customHeight="true" outlineLevel="0" collapsed="false">
      <c r="A5" s="26" t="s">
        <v>318</v>
      </c>
      <c r="B5" s="26"/>
      <c r="C5" s="26"/>
      <c r="D5" s="26"/>
      <c r="E5" s="26"/>
      <c r="F5" s="26"/>
      <c r="G5" s="26"/>
      <c r="H5" s="26"/>
      <c r="I5" s="26"/>
      <c r="J5" s="26"/>
      <c r="K5" s="26"/>
    </row>
    <row r="6" customFormat="false" ht="15" hidden="false" customHeight="true" outlineLevel="0" collapsed="false">
      <c r="A6" s="5" t="s">
        <v>223</v>
      </c>
      <c r="B6" s="43" t="n">
        <f aca="false">'UTCL-Source Data'!C5/'UTCL-Source Data'!C3</f>
        <v>0.207986270980704</v>
      </c>
      <c r="C6" s="43" t="n">
        <f aca="false">'UTCL-Source Data'!D5/'UTCL-Source Data'!D3</f>
        <v>0.20038830983037</v>
      </c>
      <c r="D6" s="43" t="n">
        <f aca="false">'UTCL-Source Data'!E5/'UTCL-Source Data'!E3</f>
        <v>0.176979424485612</v>
      </c>
      <c r="E6" s="43" t="n">
        <f aca="false">'UTCL-Source Data'!F5/'UTCL-Source Data'!F3</f>
        <v>0.212846564491131</v>
      </c>
      <c r="F6" s="43" t="n">
        <f aca="false">'UTCL-Source Data'!G5/'UTCL-Source Data'!G3</f>
        <v>0.253889969435954</v>
      </c>
      <c r="G6" s="43" t="n">
        <f aca="false">'UTCL-Source Data'!H5/'UTCL-Source Data'!H3</f>
        <v>0.215857726546</v>
      </c>
      <c r="H6" s="43" t="n">
        <f aca="false">'UTCL-Source Data'!I5/'UTCL-Source Data'!I3</f>
        <v>0.167970344726228</v>
      </c>
      <c r="I6" s="43" t="n">
        <f aca="false">'UTCL-Source Data'!J5/'UTCL-Source Data'!J3</f>
        <v>0.183855130315701</v>
      </c>
      <c r="J6" s="43" t="n">
        <f aca="false">'UTCL-Source Data'!K5/'UTCL-Source Data'!K3</f>
        <v>0.17102719243341</v>
      </c>
      <c r="K6" s="43" t="n">
        <f aca="false">'UTCL-Source Data'!L5/'UTCL-Source Data'!L3</f>
        <v>0.187890957770476</v>
      </c>
    </row>
    <row r="7" customFormat="false" ht="15" hidden="false" customHeight="true" outlineLevel="0" collapsed="false">
      <c r="A7" s="5" t="s">
        <v>319</v>
      </c>
      <c r="B7" s="43" t="n">
        <f aca="false">'UTCL-Source Data'!C8/'UTCL-Source Data'!C3</f>
        <v>0.182537357163786</v>
      </c>
      <c r="C7" s="43" t="n">
        <f aca="false">'UTCL-Source Data'!D8/'UTCL-Source Data'!D3</f>
        <v>0.160739832413652</v>
      </c>
      <c r="D7" s="43" t="n">
        <f aca="false">'UTCL-Source Data'!E8/'UTCL-Source Data'!E3</f>
        <v>0.131378284457111</v>
      </c>
      <c r="E7" s="43" t="n">
        <f aca="false">'UTCL-Source Data'!F8/'UTCL-Source Data'!F3</f>
        <v>0.17033629363576</v>
      </c>
      <c r="F7" s="43" t="n">
        <f aca="false">'UTCL-Source Data'!G8/'UTCL-Source Data'!G3</f>
        <v>0.215777530795591</v>
      </c>
      <c r="G7" s="43" t="n">
        <f aca="false">'UTCL-Source Data'!H8/'UTCL-Source Data'!H3</f>
        <v>0.179440617413102</v>
      </c>
      <c r="H7" s="43" t="n">
        <f aca="false">'UTCL-Source Data'!I8/'UTCL-Source Data'!I3</f>
        <v>0.130933912503878</v>
      </c>
      <c r="I7" s="43" t="n">
        <f aca="false">'UTCL-Source Data'!J8/'UTCL-Source Data'!J3</f>
        <v>0.14940050407191</v>
      </c>
      <c r="J7" s="43" t="n">
        <f aca="false">'UTCL-Source Data'!K8/'UTCL-Source Data'!K3</f>
        <v>0.128659851171848</v>
      </c>
      <c r="K7" s="43" t="n">
        <f aca="false">'UTCL-Source Data'!L8/'UTCL-Source Data'!L3</f>
        <v>0.143130096142144</v>
      </c>
    </row>
    <row r="8" customFormat="false" ht="15" hidden="false" customHeight="true" outlineLevel="0" collapsed="false">
      <c r="A8" s="5" t="s">
        <v>320</v>
      </c>
      <c r="B8" s="43" t="n">
        <f aca="false">'UTCL-Source Data'!C13/'UTCL-Source Data'!C3</f>
        <v>0.109999581432339</v>
      </c>
      <c r="C8" s="43" t="n">
        <f aca="false">'UTCL-Source Data'!D13/'UTCL-Source Data'!D3</f>
        <v>0.075992915048709</v>
      </c>
      <c r="D8" s="43" t="n">
        <f aca="false">'UTCL-Source Data'!E13/'UTCL-Source Data'!E3</f>
        <v>0.0603015075376884</v>
      </c>
      <c r="E8" s="43" t="n">
        <f aca="false">'UTCL-Source Data'!F13/'UTCL-Source Data'!F3</f>
        <v>0.134222244089646</v>
      </c>
      <c r="F8" s="43" t="n">
        <f aca="false">'UTCL-Source Data'!G13/'UTCL-Source Data'!G3</f>
        <v>0.123691766231361</v>
      </c>
      <c r="G8" s="43" t="n">
        <f aca="false">'UTCL-Source Data'!H13/'UTCL-Source Data'!H3</f>
        <v>0.139490357854845</v>
      </c>
      <c r="H8" s="43" t="n">
        <f aca="false">'UTCL-Source Data'!I13/'UTCL-Source Data'!I3</f>
        <v>0.0808498130215393</v>
      </c>
      <c r="I8" s="43" t="n">
        <f aca="false">'UTCL-Source Data'!J13/'UTCL-Source Data'!J3</f>
        <v>0.100595853790009</v>
      </c>
      <c r="J8" s="43" t="n">
        <f aca="false">'UTCL-Source Data'!K13/'UTCL-Source Data'!K3</f>
        <v>0.0861395090061896</v>
      </c>
      <c r="K8" s="43" t="n">
        <f aca="false">'UTCL-Source Data'!L13/'UTCL-Source Data'!L3</f>
        <v>0.0901180479493733</v>
      </c>
    </row>
    <row r="9" customFormat="false" ht="15" hidden="false" customHeight="true" outlineLevel="0" collapsed="false">
      <c r="A9" s="5" t="s">
        <v>321</v>
      </c>
      <c r="B9" s="43" t="n">
        <f aca="false">'UTCL-Source Data'!C13/'UTCL-Source Data'!C20</f>
        <v>0.109769850883422</v>
      </c>
      <c r="C9" s="43" t="n">
        <f aca="false">'UTCL-Source Data'!D13/'UTCL-Source Data'!D20</f>
        <v>0.0860625699186051</v>
      </c>
      <c r="D9" s="43" t="n">
        <f aca="false">'UTCL-Source Data'!E13/'UTCL-Source Data'!E20</f>
        <v>0.0724389584647266</v>
      </c>
      <c r="E9" s="43" t="n">
        <f aca="false">'UTCL-Source Data'!F13/'UTCL-Source Data'!F20</f>
        <v>0.142469187382494</v>
      </c>
      <c r="F9" s="43" t="n">
        <f aca="false">'UTCL-Source Data'!G13/'UTCL-Source Data'!G20</f>
        <v>0.123220999700136</v>
      </c>
      <c r="G9" s="43" t="n">
        <f aca="false">'UTCL-Source Data'!H13/'UTCL-Source Data'!H20</f>
        <v>0.143431227293946</v>
      </c>
      <c r="H9" s="43" t="n">
        <f aca="false">'UTCL-Source Data'!I13/'UTCL-Source Data'!I20</f>
        <v>0.0927014679448772</v>
      </c>
      <c r="I9" s="43" t="n">
        <f aca="false">'UTCL-Source Data'!J13/'UTCL-Source Data'!J20</f>
        <v>0.116845756832219</v>
      </c>
      <c r="J9" s="43" t="n">
        <f aca="false">'UTCL-Source Data'!K13/'UTCL-Source Data'!K20</f>
        <v>0.0888802778495364</v>
      </c>
      <c r="K9" s="43" t="n">
        <f aca="false">'UTCL-Source Data'!L13/'UTCL-Source Data'!L20</f>
        <v>0.0991789775390756</v>
      </c>
    </row>
    <row r="10" customFormat="false" ht="15" hidden="false" customHeight="true" outlineLevel="0" collapsed="false">
      <c r="A10" s="5" t="s">
        <v>322</v>
      </c>
      <c r="B10" s="43" t="n">
        <f aca="false">'UTCL-Source Data'!C8/'UTCL-Source Data'!C24</f>
        <v>0.132331967834926</v>
      </c>
      <c r="C10" s="43" t="n">
        <f aca="false">'UTCL-Source Data'!D8/'UTCL-Source Data'!D24</f>
        <v>0.101446782896575</v>
      </c>
      <c r="D10" s="43" t="n">
        <f aca="false">'UTCL-Source Data'!E8/'UTCL-Source Data'!E24</f>
        <v>0.0887953904124635</v>
      </c>
      <c r="E10" s="43" t="n">
        <f aca="false">'UTCL-Source Data'!F8/'UTCL-Source Data'!F24</f>
        <v>0.112497562877754</v>
      </c>
      <c r="F10" s="43" t="n">
        <f aca="false">'UTCL-Source Data'!G8/'UTCL-Source Data'!G24</f>
        <v>0.139326615435218</v>
      </c>
      <c r="G10" s="43" t="n">
        <f aca="false">'UTCL-Source Data'!H8/'UTCL-Source Data'!H24</f>
        <v>0.139270175868619</v>
      </c>
      <c r="H10" s="43" t="n">
        <f aca="false">'UTCL-Source Data'!I8/'UTCL-Source Data'!I24</f>
        <v>0.115584771295535</v>
      </c>
      <c r="I10" s="43" t="n">
        <f aca="false">'UTCL-Source Data'!J8/'UTCL-Source Data'!J24</f>
        <v>0.13759375293502</v>
      </c>
      <c r="J10" s="43" t="n">
        <f aca="false">'UTCL-Source Data'!K8/'UTCL-Source Data'!K24</f>
        <v>0.0941610000407183</v>
      </c>
      <c r="K10" s="43" t="n">
        <f aca="false">'UTCL-Source Data'!L8/'UTCL-Source Data'!L24</f>
        <v>0.113469498017347</v>
      </c>
    </row>
    <row r="11" customFormat="false" ht="15" hidden="false" customHeight="true" outlineLevel="0" collapsed="false">
      <c r="A11" s="5" t="s">
        <v>228</v>
      </c>
      <c r="C11" s="43" t="n">
        <f aca="false">'UTCL-Source Data'!D8*(1-'UTCL-Assumptions'!$B$4)/('UTCL-Source Data'!C14+'UTCL-Source Data'!C17)</f>
        <v>0.149975455703729</v>
      </c>
      <c r="D11" s="43" t="n">
        <f aca="false">'UTCL-Source Data'!E8*(1-'UTCL-Assumptions'!$B$4)/('UTCL-Source Data'!D14+'UTCL-Source Data'!D17)</f>
        <v>0.0974481241017</v>
      </c>
      <c r="E11" s="43" t="n">
        <f aca="false">'UTCL-Source Data'!F8*(1-'UTCL-Assumptions'!$B$4)/('UTCL-Source Data'!E14+'UTCL-Source Data'!E17)</f>
        <v>0.103691642418299</v>
      </c>
      <c r="F11" s="43" t="n">
        <f aca="false">'UTCL-Source Data'!G8*(1-'UTCL-Assumptions'!$B$4)/('UTCL-Source Data'!F14+'UTCL-Source Data'!F17)</f>
        <v>0.140381554070376</v>
      </c>
      <c r="G11" s="43" t="n">
        <f aca="false">'UTCL-Source Data'!H8*(1-'UTCL-Assumptions'!$B$4)/('UTCL-Source Data'!G14+'UTCL-Source Data'!G17)</f>
        <v>0.144824309618087</v>
      </c>
      <c r="H11" s="43" t="n">
        <f aca="false">'UTCL-Source Data'!I8*(1-'UTCL-Assumptions'!$B$4)/('UTCL-Source Data'!H14+'UTCL-Source Data'!H17)</f>
        <v>0.117679946652022</v>
      </c>
      <c r="I11" s="43" t="n">
        <f aca="false">'UTCL-Source Data'!J8*(1-'UTCL-Assumptions'!$B$4)/('UTCL-Source Data'!I14+'UTCL-Source Data'!I17)</f>
        <v>0.128034796536363</v>
      </c>
      <c r="J11" s="43" t="n">
        <f aca="false">'UTCL-Source Data'!K8*(1-'UTCL-Assumptions'!$B$4)/('UTCL-Source Data'!J14+'UTCL-Source Data'!J17)</f>
        <v>0.106012191012957</v>
      </c>
      <c r="K11" s="43" t="n">
        <f aca="false">'UTCL-Source Data'!L8*(1-'UTCL-Assumptions'!$B$4)/('UTCL-Source Data'!K14+'UTCL-Source Data'!K17)</f>
        <v>0.107679780749514</v>
      </c>
    </row>
    <row r="13" customFormat="false" ht="15" hidden="false" customHeight="true" outlineLevel="0" collapsed="false">
      <c r="A13" s="26" t="s">
        <v>323</v>
      </c>
      <c r="B13" s="26"/>
      <c r="C13" s="26"/>
      <c r="D13" s="26"/>
      <c r="E13" s="26"/>
      <c r="F13" s="26"/>
      <c r="G13" s="26"/>
      <c r="H13" s="26"/>
      <c r="I13" s="26"/>
      <c r="J13" s="26"/>
      <c r="K13" s="26"/>
    </row>
    <row r="14" customFormat="false" ht="15" hidden="false" customHeight="true" outlineLevel="0" collapsed="false">
      <c r="A14" s="5" t="s">
        <v>225</v>
      </c>
      <c r="B14" s="34" t="n">
        <f aca="false">'UTCL-Source Data'!C3*10/'UTCL-Source Data'!C2</f>
        <v>4888.68426437487</v>
      </c>
      <c r="C14" s="34" t="n">
        <f aca="false">'UTCL-Source Data'!D3*10/'UTCL-Source Data'!D2</f>
        <v>4948.25551997303</v>
      </c>
      <c r="D14" s="34" t="n">
        <f aca="false">'UTCL-Source Data'!E3*10/'UTCL-Source Data'!E2</f>
        <v>4951.59692993315</v>
      </c>
      <c r="E14" s="34" t="n">
        <f aca="false">'UTCL-Source Data'!F3*10/'UTCL-Source Data'!F2</f>
        <v>5247.74076942938</v>
      </c>
      <c r="F14" s="34" t="n">
        <f aca="false">'UTCL-Source Data'!G3*10/'UTCL-Source Data'!G2</f>
        <v>5315.44615384615</v>
      </c>
      <c r="G14" s="34" t="n">
        <f aca="false">'UTCL-Source Data'!H3*10/'UTCL-Source Data'!H2</f>
        <v>5755.85094296751</v>
      </c>
      <c r="H14" s="34" t="n">
        <f aca="false">'UTCL-Source Data'!I3*10/'UTCL-Source Data'!I2</f>
        <v>6120.02798321007</v>
      </c>
      <c r="I14" s="34" t="n">
        <f aca="false">'UTCL-Source Data'!J3*10/'UTCL-Source Data'!J2</f>
        <v>6084.65561563691</v>
      </c>
      <c r="J14" s="34" t="n">
        <f aca="false">'UTCL-Source Data'!K3*10/'UTCL-Source Data'!K2</f>
        <v>5714.56958906287</v>
      </c>
      <c r="K14" s="34" t="n">
        <f aca="false">'UTCL-Source Data'!L3*10/'UTCL-Source Data'!L2</f>
        <v>5838.01065719361</v>
      </c>
    </row>
    <row r="15" customFormat="false" ht="15" hidden="false" customHeight="true" outlineLevel="0" collapsed="false">
      <c r="A15" s="5" t="s">
        <v>324</v>
      </c>
      <c r="B15" s="34" t="n">
        <f aca="false">'UTCL-Source Data'!C5*10/'UTCL-Source Data'!C2</f>
        <v>1016.77921014938</v>
      </c>
      <c r="C15" s="34" t="n">
        <f aca="false">'UTCL-Source Data'!D5*10/'UTCL-Source Data'!D2</f>
        <v>991.572560256194</v>
      </c>
      <c r="D15" s="34" t="n">
        <f aca="false">'UTCL-Source Data'!E5*10/'UTCL-Source Data'!E2</f>
        <v>876.330774944293</v>
      </c>
      <c r="E15" s="34" t="n">
        <f aca="false">'UTCL-Source Data'!F5*10/'UTCL-Source Data'!F2</f>
        <v>1116.96359411309</v>
      </c>
      <c r="F15" s="34" t="n">
        <f aca="false">'UTCL-Source Data'!G5*10/'UTCL-Source Data'!G2</f>
        <v>1349.53846153846</v>
      </c>
      <c r="G15" s="34" t="n">
        <f aca="false">'UTCL-Source Data'!H5*10/'UTCL-Source Data'!H2</f>
        <v>1242.44489888662</v>
      </c>
      <c r="H15" s="34" t="n">
        <f aca="false">'UTCL-Source Data'!I5*10/'UTCL-Source Data'!I2</f>
        <v>1027.98321007396</v>
      </c>
      <c r="I15" s="34" t="n">
        <f aca="false">'UTCL-Source Data'!J5*10/'UTCL-Source Data'!J2</f>
        <v>1118.69515113908</v>
      </c>
      <c r="J15" s="34" t="n">
        <f aca="false">'UTCL-Source Data'!K5*10/'UTCL-Source Data'!K2</f>
        <v>977.346792782768</v>
      </c>
      <c r="K15" s="34" t="n">
        <f aca="false">'UTCL-Source Data'!L5*10/'UTCL-Source Data'!L2</f>
        <v>1096.90941385435</v>
      </c>
    </row>
    <row r="16" customFormat="false" ht="15" hidden="false" customHeight="true" outlineLevel="0" collapsed="false">
      <c r="A16" s="5" t="s">
        <v>325</v>
      </c>
      <c r="B16" s="34" t="n">
        <f aca="false">'UTCL-Source Data'!C4*10/'UTCL-Source Data'!C2</f>
        <v>3871.9050542255</v>
      </c>
      <c r="C16" s="34" t="n">
        <f aca="false">'UTCL-Source Data'!D4*10/'UTCL-Source Data'!D2</f>
        <v>3956.68295971684</v>
      </c>
      <c r="D16" s="34" t="n">
        <f aca="false">'UTCL-Source Data'!E4*10/'UTCL-Source Data'!E2</f>
        <v>4075.26615498886</v>
      </c>
      <c r="E16" s="34" t="n">
        <f aca="false">'UTCL-Source Data'!F4*10/'UTCL-Source Data'!F2</f>
        <v>4130.77717531629</v>
      </c>
      <c r="F16" s="34" t="n">
        <f aca="false">'UTCL-Source Data'!G4*10/'UTCL-Source Data'!G2</f>
        <v>3966.03076923077</v>
      </c>
      <c r="G16" s="34" t="n">
        <f aca="false">'UTCL-Source Data'!H4*10/'UTCL-Source Data'!H2</f>
        <v>4513.40604408089</v>
      </c>
      <c r="H16" s="34" t="n">
        <f aca="false">'UTCL-Source Data'!I4*10/'UTCL-Source Data'!I2</f>
        <v>5092.1447131721</v>
      </c>
      <c r="I16" s="34" t="n">
        <f aca="false">'UTCL-Source Data'!J4*10/'UTCL-Source Data'!J2</f>
        <v>4965.96046449783</v>
      </c>
      <c r="J16" s="34" t="n">
        <f aca="false">'UTCL-Source Data'!K4*10/'UTCL-Source Data'!K2</f>
        <v>4737.22279628011</v>
      </c>
      <c r="K16" s="34" t="n">
        <f aca="false">'UTCL-Source Data'!L4*10/'UTCL-Source Data'!L2</f>
        <v>4741.03019538188</v>
      </c>
    </row>
    <row r="17" customFormat="false" ht="15" hidden="false" customHeight="true" outlineLevel="0" collapsed="false">
      <c r="A17" s="5" t="s">
        <v>326</v>
      </c>
      <c r="B17" s="45" t="n">
        <f aca="false">'UTCL-Source Data'!C2</f>
        <v>48.87</v>
      </c>
      <c r="C17" s="45" t="n">
        <f aca="false">'UTCL-Source Data'!D2</f>
        <v>59.33</v>
      </c>
      <c r="D17" s="45" t="n">
        <f aca="false">'UTCL-Source Data'!E2</f>
        <v>80.78</v>
      </c>
      <c r="E17" s="45" t="n">
        <f aca="false">'UTCL-Source Data'!F2</f>
        <v>77.46</v>
      </c>
      <c r="F17" s="45" t="n">
        <f aca="false">'UTCL-Source Data'!G2</f>
        <v>81.25</v>
      </c>
      <c r="G17" s="45" t="n">
        <f aca="false">'UTCL-Source Data'!H2</f>
        <v>88.02</v>
      </c>
      <c r="H17" s="45" t="n">
        <f aca="false">'UTCL-Source Data'!I2</f>
        <v>100.06</v>
      </c>
      <c r="I17" s="45" t="n">
        <f aca="false">'UTCL-Source Data'!J2</f>
        <v>112.81</v>
      </c>
      <c r="J17" s="45" t="n">
        <f aca="false">'UTCL-Source Data'!K2</f>
        <v>125.81</v>
      </c>
      <c r="K17" s="45" t="n">
        <f aca="false">'UTCL-Source Data'!L2</f>
        <v>140.75</v>
      </c>
    </row>
    <row r="19" customFormat="false" ht="15" hidden="false" customHeight="true" outlineLevel="0" collapsed="false">
      <c r="A19" s="26" t="s">
        <v>327</v>
      </c>
      <c r="B19" s="26"/>
      <c r="C19" s="26"/>
      <c r="D19" s="26"/>
      <c r="E19" s="26"/>
      <c r="F19" s="26"/>
      <c r="G19" s="26"/>
      <c r="H19" s="26"/>
      <c r="I19" s="26"/>
      <c r="J19" s="26"/>
      <c r="K19" s="26"/>
    </row>
    <row r="20" customFormat="false" ht="15" hidden="false" customHeight="true" outlineLevel="0" collapsed="false">
      <c r="A20" s="5" t="s">
        <v>328</v>
      </c>
      <c r="B20" s="46" t="n">
        <f aca="false">'UTCL-Source Data'!C3/'UTCL-Source Data'!C14</f>
        <v>0.979661294952229</v>
      </c>
      <c r="C20" s="46" t="n">
        <f aca="false">'UTCL-Source Data'!D3/'UTCL-Source Data'!D14</f>
        <v>0.719876416065912</v>
      </c>
      <c r="D20" s="46" t="n">
        <f aca="false">'UTCL-Source Data'!E3/'UTCL-Source Data'!E14</f>
        <v>0.806952065848935</v>
      </c>
      <c r="E20" s="46" t="n">
        <f aca="false">'UTCL-Source Data'!F3/'UTCL-Source Data'!F14</f>
        <v>0.821424241199531</v>
      </c>
      <c r="F20" s="46" t="n">
        <f aca="false">'UTCL-Source Data'!G3/'UTCL-Source Data'!G14</f>
        <v>0.878805144066417</v>
      </c>
      <c r="G20" s="46" t="n">
        <f aca="false">'UTCL-Source Data'!H3/'UTCL-Source Data'!H14</f>
        <v>0.963101665272603</v>
      </c>
      <c r="H20" s="46" t="n">
        <f aca="false">'UTCL-Source Data'!I3/'UTCL-Source Data'!I14</f>
        <v>0.970829303866703</v>
      </c>
      <c r="I20" s="46" t="n">
        <f aca="false">'UTCL-Source Data'!J3/'UTCL-Source Data'!J14</f>
        <v>0.9895196632453</v>
      </c>
      <c r="J20" s="46" t="n">
        <f aca="false">'UTCL-Source Data'!K3/'UTCL-Source Data'!K14</f>
        <v>0.858304283463063</v>
      </c>
      <c r="K20" s="46" t="n">
        <f aca="false">'UTCL-Source Data'!L3/'UTCL-Source Data'!L14</f>
        <v>0.921591278698085</v>
      </c>
    </row>
    <row r="21" customFormat="false" ht="15" hidden="false" customHeight="true" outlineLevel="0" collapsed="false">
      <c r="A21" s="5" t="s">
        <v>329</v>
      </c>
      <c r="B21" s="43" t="n">
        <f aca="false">'UTCL-Source Data'!C17/'UTCL-Source Data'!C3</f>
        <v>-0.0352015403289942</v>
      </c>
      <c r="C21" s="43" t="n">
        <f aca="false">'UTCL-Source Data'!D17/'UTCL-Source Data'!D3</f>
        <v>-0.0145786497717828</v>
      </c>
      <c r="D21" s="43" t="n">
        <f aca="false">'UTCL-Source Data'!E17/'UTCL-Source Data'!E3</f>
        <v>0.0100252506312658</v>
      </c>
      <c r="E21" s="43" t="n">
        <f aca="false">'UTCL-Source Data'!F17/'UTCL-Source Data'!F3</f>
        <v>0.00467416172599572</v>
      </c>
      <c r="F21" s="43" t="n">
        <f aca="false">'UTCL-Source Data'!G17/'UTCL-Source Data'!G3</f>
        <v>-0.0502454385477447</v>
      </c>
      <c r="G21" s="43" t="n">
        <f aca="false">'UTCL-Source Data'!H17/'UTCL-Source Data'!H3</f>
        <v>-0.0319365217219667</v>
      </c>
      <c r="H21" s="43" t="n">
        <f aca="false">'UTCL-Source Data'!I17/'UTCL-Source Data'!I3</f>
        <v>-0.0512761892320003</v>
      </c>
      <c r="I21" s="43" t="n">
        <f aca="false">'UTCL-Source Data'!J17/'UTCL-Source Data'!J3</f>
        <v>-0.0593522821637214</v>
      </c>
      <c r="J21" s="43" t="n">
        <f aca="false">'UTCL-Source Data'!K17/'UTCL-Source Data'!K3</f>
        <v>-0.0282495305654079</v>
      </c>
      <c r="K21" s="43" t="n">
        <f aca="false">'UTCL-Source Data'!L17/'UTCL-Source Data'!L3</f>
        <v>-0.0373737373737374</v>
      </c>
    </row>
    <row r="22" customFormat="false" ht="15" hidden="false" customHeight="true" outlineLevel="0" collapsed="false">
      <c r="A22" s="5" t="s">
        <v>330</v>
      </c>
      <c r="B22" s="34" t="n">
        <f aca="false">'UTCL-Source Data'!C24*10/'UTCL-Source Data'!C2</f>
        <v>6743.40085942296</v>
      </c>
      <c r="C22" s="34" t="n">
        <f aca="false">'UTCL-Source Data'!D24*10/'UTCL-Source Data'!D2</f>
        <v>7840.38429125232</v>
      </c>
      <c r="D22" s="34" t="n">
        <f aca="false">'UTCL-Source Data'!E24*10/'UTCL-Source Data'!E2</f>
        <v>7326.19460262441</v>
      </c>
      <c r="E22" s="34" t="n">
        <f aca="false">'UTCL-Source Data'!F24*10/'UTCL-Source Data'!F2</f>
        <v>7945.77846630519</v>
      </c>
      <c r="F22" s="34" t="n">
        <f aca="false">'UTCL-Source Data'!G24*10/'UTCL-Source Data'!G2</f>
        <v>8232.12307692308</v>
      </c>
      <c r="G22" s="34" t="n">
        <f aca="false">'UTCL-Source Data'!H24*10/'UTCL-Source Data'!H2</f>
        <v>7416.04180867985</v>
      </c>
      <c r="H22" s="34" t="n">
        <f aca="false">'UTCL-Source Data'!I24*10/'UTCL-Source Data'!I2</f>
        <v>6932.74035578653</v>
      </c>
      <c r="I22" s="34" t="n">
        <f aca="false">'UTCL-Source Data'!J24*10/'UTCL-Source Data'!J2</f>
        <v>6606.77244925095</v>
      </c>
      <c r="J22" s="34" t="n">
        <f aca="false">'UTCL-Source Data'!K24*10/'UTCL-Source Data'!K2</f>
        <v>7808.28233049837</v>
      </c>
      <c r="K22" s="34" t="n">
        <f aca="false">'UTCL-Source Data'!L24*10/'UTCL-Source Data'!L2</f>
        <v>7364.04973357016</v>
      </c>
    </row>
    <row r="24" customFormat="false" ht="15" hidden="false" customHeight="true" outlineLevel="0" collapsed="false">
      <c r="A24" s="26" t="s">
        <v>331</v>
      </c>
      <c r="B24" s="26"/>
      <c r="C24" s="26"/>
      <c r="D24" s="26"/>
      <c r="E24" s="26"/>
      <c r="F24" s="26"/>
      <c r="G24" s="26"/>
      <c r="H24" s="26"/>
      <c r="I24" s="26"/>
      <c r="J24" s="26"/>
      <c r="K24" s="26"/>
    </row>
    <row r="25" customFormat="false" ht="15" hidden="false" customHeight="true" outlineLevel="0" collapsed="false">
      <c r="A25" s="5" t="s">
        <v>332</v>
      </c>
      <c r="B25" s="46" t="n">
        <f aca="false">('UTCL-Source Data'!C21+'UTCL-Source Data'!C22)/'UTCL-Source Data'!C20</f>
        <v>0.26064074182365</v>
      </c>
      <c r="C25" s="46" t="n">
        <f aca="false">('UTCL-Source Data'!D21+'UTCL-Source Data'!D22)/'UTCL-Source Data'!D20</f>
        <v>0.671990124599776</v>
      </c>
      <c r="D25" s="46" t="n">
        <f aca="false">('UTCL-Source Data'!E21+'UTCL-Source Data'!E22)/'UTCL-Source Data'!E20</f>
        <v>0.619785566267231</v>
      </c>
      <c r="E25" s="46" t="n">
        <f aca="false">('UTCL-Source Data'!F21+'UTCL-Source Data'!F22)/'UTCL-Source Data'!F20</f>
        <v>0.500705034468352</v>
      </c>
      <c r="F25" s="46" t="n">
        <f aca="false">('UTCL-Source Data'!G21+'UTCL-Source Data'!G22)/'UTCL-Source Data'!G20</f>
        <v>0.422462113348557</v>
      </c>
      <c r="G25" s="46" t="n">
        <f aca="false">('UTCL-Source Data'!H21+'UTCL-Source Data'!H22)/'UTCL-Source Data'!H20</f>
        <v>0.218708773923809</v>
      </c>
      <c r="H25" s="46" t="n">
        <f aca="false">('UTCL-Source Data'!I21+'UTCL-Source Data'!I22)/'UTCL-Source Data'!I20</f>
        <v>0.181676902336729</v>
      </c>
      <c r="I25" s="46" t="n">
        <f aca="false">('UTCL-Source Data'!J21+'UTCL-Source Data'!J22)/'UTCL-Source Data'!J20</f>
        <v>0.152466367713004</v>
      </c>
      <c r="J25" s="46" t="n">
        <f aca="false">('UTCL-Source Data'!K21+'UTCL-Source Data'!K22)/'UTCL-Source Data'!K20</f>
        <v>0.292215620425385</v>
      </c>
      <c r="K25" s="46" t="n">
        <f aca="false">('UTCL-Source Data'!L21+'UTCL-Source Data'!L22)/'UTCL-Source Data'!L20</f>
        <v>0.274299184334945</v>
      </c>
    </row>
    <row r="26" customFormat="false" ht="15" hidden="false" customHeight="true" outlineLevel="0" collapsed="false">
      <c r="A26" s="5" t="s">
        <v>333</v>
      </c>
      <c r="B26" s="46" t="n">
        <f aca="false">('UTCL-Source Data'!C21+'UTCL-Source Data'!C22-'UTCL-Source Data'!C16)/'UTCL-Source Data'!C5</f>
        <v>-0.487623264238277</v>
      </c>
      <c r="C26" s="46" t="n">
        <f aca="false">('UTCL-Source Data'!D21+'UTCL-Source Data'!D22-'UTCL-Source Data'!D16)/'UTCL-Source Data'!D5</f>
        <v>2.04113547509774</v>
      </c>
      <c r="D26" s="46" t="n">
        <f aca="false">('UTCL-Source Data'!E21+'UTCL-Source Data'!E22-'UTCL-Source Data'!E16)/'UTCL-Source Data'!E5</f>
        <v>2.45981070772708</v>
      </c>
      <c r="E26" s="46" t="n">
        <f aca="false">('UTCL-Source Data'!F21+'UTCL-Source Data'!F22-'UTCL-Source Data'!F16)/'UTCL-Source Data'!F5</f>
        <v>1.53640776699029</v>
      </c>
      <c r="F26" s="46" t="n">
        <f aca="false">('UTCL-Source Data'!G21+'UTCL-Source Data'!G22-'UTCL-Source Data'!G16)/'UTCL-Source Data'!G5</f>
        <v>0.431646146830825</v>
      </c>
      <c r="G26" s="46" t="n">
        <f aca="false">('UTCL-Source Data'!H21+'UTCL-Source Data'!H22-'UTCL-Source Data'!H16)/'UTCL-Source Data'!H5</f>
        <v>0.426207022677396</v>
      </c>
      <c r="H26" s="46" t="n">
        <f aca="false">('UTCL-Source Data'!I21+'UTCL-Source Data'!I22-'UTCL-Source Data'!I16)/'UTCL-Source Data'!I5</f>
        <v>0.336087886447599</v>
      </c>
      <c r="I26" s="46" t="n">
        <f aca="false">('UTCL-Source Data'!J21+'UTCL-Source Data'!J22-'UTCL-Source Data'!J16)/'UTCL-Source Data'!J5</f>
        <v>0.158003169572108</v>
      </c>
      <c r="J26" s="46" t="n">
        <f aca="false">('UTCL-Source Data'!K21+'UTCL-Source Data'!K22-'UTCL-Source Data'!K16)/'UTCL-Source Data'!K5</f>
        <v>1.37093363695511</v>
      </c>
      <c r="K26" s="46" t="n">
        <f aca="false">('UTCL-Source Data'!L21+'UTCL-Source Data'!L22-'UTCL-Source Data'!L16)/'UTCL-Source Data'!L5</f>
        <v>1.00148973379105</v>
      </c>
    </row>
    <row r="27" customFormat="false" ht="15" hidden="false" customHeight="true" outlineLevel="0" collapsed="false">
      <c r="A27" s="5" t="s">
        <v>334</v>
      </c>
      <c r="B27" s="46" t="n">
        <f aca="false">'UTCL-Source Data'!C8/'UTCL-Source Data'!C9</f>
        <v>7.63747810858144</v>
      </c>
      <c r="C27" s="46" t="n">
        <f aca="false">'UTCL-Source Data'!D8/'UTCL-Source Data'!D9</f>
        <v>3.96221662468514</v>
      </c>
      <c r="D27" s="46" t="n">
        <f aca="false">'UTCL-Source Data'!E8/'UTCL-Source Data'!E9</f>
        <v>3.18871359223301</v>
      </c>
      <c r="E27" s="46" t="n">
        <f aca="false">'UTCL-Source Data'!F8/'UTCL-Source Data'!F9</f>
        <v>4.06338028169014</v>
      </c>
      <c r="F27" s="46" t="n">
        <f aca="false">'UTCL-Source Data'!G8/'UTCL-Source Data'!G9</f>
        <v>7.40190627482129</v>
      </c>
      <c r="G27" s="46" t="n">
        <f aca="false">'UTCL-Source Data'!H8/'UTCL-Source Data'!H9</f>
        <v>11.3922305764411</v>
      </c>
      <c r="H27" s="46" t="n">
        <f aca="false">'UTCL-Source Data'!I8/'UTCL-Source Data'!I9</f>
        <v>10.6058201058201</v>
      </c>
      <c r="I27" s="46" t="n">
        <f aca="false">'UTCL-Source Data'!J8/'UTCL-Source Data'!J9</f>
        <v>11.8281430219146</v>
      </c>
      <c r="J27" s="46" t="n">
        <f aca="false">'UTCL-Source Data'!K8/'UTCL-Source Data'!K9</f>
        <v>6.31399317406143</v>
      </c>
      <c r="K27" s="46" t="n">
        <f aca="false">'UTCL-Source Data'!L8/'UTCL-Source Data'!L9</f>
        <v>7.21533742331288</v>
      </c>
    </row>
    <row r="29" customFormat="false" ht="15" hidden="false" customHeight="true" outlineLevel="0" collapsed="false">
      <c r="A29" s="26" t="s">
        <v>335</v>
      </c>
      <c r="B29" s="26"/>
      <c r="C29" s="26"/>
      <c r="D29" s="26"/>
      <c r="E29" s="26"/>
      <c r="F29" s="26"/>
      <c r="G29" s="26"/>
      <c r="H29" s="26"/>
      <c r="I29" s="26"/>
      <c r="J29" s="26"/>
      <c r="K29" s="26"/>
    </row>
    <row r="30" customFormat="false" ht="15" hidden="false" customHeight="true" outlineLevel="0" collapsed="false">
      <c r="A30" s="5" t="s">
        <v>224</v>
      </c>
      <c r="C30" s="43" t="n">
        <f aca="false">'UTCL-Source Data'!D3/'UTCL-Source Data'!C3-1</f>
        <v>0.228830940521535</v>
      </c>
      <c r="D30" s="43" t="n">
        <f aca="false">'UTCL-Source Data'!E3/'UTCL-Source Data'!D3-1</f>
        <v>0.362456570611077</v>
      </c>
      <c r="E30" s="43" t="n">
        <f aca="false">'UTCL-Source Data'!F3/'UTCL-Source Data'!E3-1</f>
        <v>0.0162504062601565</v>
      </c>
      <c r="F30" s="43" t="n">
        <f aca="false">'UTCL-Source Data'!G3/'UTCL-Source Data'!F3-1</f>
        <v>0.0624615611700166</v>
      </c>
      <c r="G30" s="43" t="n">
        <f aca="false">'UTCL-Source Data'!H3/'UTCL-Source Data'!G3-1</f>
        <v>0.173080485319996</v>
      </c>
      <c r="H30" s="43" t="n">
        <f aca="false">'UTCL-Source Data'!I3/'UTCL-Source Data'!H3-1</f>
        <v>0.20871247261315</v>
      </c>
      <c r="I30" s="43" t="n">
        <f aca="false">'UTCL-Source Data'!J3/'UTCL-Source Data'!I3-1</f>
        <v>0.120907294609468</v>
      </c>
      <c r="J30" s="43" t="n">
        <f aca="false">'UTCL-Source Data'!K3/'UTCL-Source Data'!J3-1</f>
        <v>0.0474060692588978</v>
      </c>
      <c r="K30" s="43" t="n">
        <f aca="false">'UTCL-Source Data'!L3/'UTCL-Source Data'!K3-1</f>
        <v>0.142916753598999</v>
      </c>
    </row>
    <row r="31" customFormat="false" ht="15" hidden="false" customHeight="true" outlineLevel="0" collapsed="false">
      <c r="A31" s="5" t="s">
        <v>336</v>
      </c>
      <c r="C31" s="43" t="n">
        <f aca="false">'UTCL-Source Data'!D2/'UTCL-Source Data'!C2-1</f>
        <v>0.214037241661551</v>
      </c>
      <c r="D31" s="43" t="n">
        <f aca="false">'UTCL-Source Data'!E2/'UTCL-Source Data'!D2-1</f>
        <v>0.36153716500927</v>
      </c>
      <c r="E31" s="43" t="n">
        <f aca="false">'UTCL-Source Data'!F2/'UTCL-Source Data'!E2-1</f>
        <v>-0.0410992820004953</v>
      </c>
      <c r="F31" s="43" t="n">
        <f aca="false">'UTCL-Source Data'!G2/'UTCL-Source Data'!F2-1</f>
        <v>0.0489284792150788</v>
      </c>
      <c r="G31" s="43" t="n">
        <f aca="false">'UTCL-Source Data'!H2/'UTCL-Source Data'!G2-1</f>
        <v>0.0833230769230768</v>
      </c>
      <c r="H31" s="43" t="n">
        <f aca="false">'UTCL-Source Data'!I2/'UTCL-Source Data'!H2-1</f>
        <v>0.136787093842309</v>
      </c>
      <c r="I31" s="43" t="n">
        <f aca="false">'UTCL-Source Data'!J2/'UTCL-Source Data'!I2-1</f>
        <v>0.127423545872477</v>
      </c>
      <c r="J31" s="43" t="n">
        <f aca="false">'UTCL-Source Data'!K2/'UTCL-Source Data'!J2-1</f>
        <v>0.115238010814644</v>
      </c>
      <c r="K31" s="43" t="n">
        <f aca="false">'UTCL-Source Data'!L2/'UTCL-Source Data'!K2-1</f>
        <v>0.11875049678086</v>
      </c>
    </row>
    <row r="32" customFormat="false" ht="15" hidden="false" customHeight="true" outlineLevel="0" collapsed="false">
      <c r="A32" s="5" t="s">
        <v>337</v>
      </c>
      <c r="C32" s="43" t="n">
        <f aca="false">('UTCL-Source Data'!D3/'UTCL-Source Data'!D2)/('UTCL-Source Data'!C3/'UTCL-Source Data'!C2)-1</f>
        <v>0.0121855395801016</v>
      </c>
      <c r="D32" s="43" t="n">
        <f aca="false">('UTCL-Source Data'!E3/'UTCL-Source Data'!E2)/('UTCL-Source Data'!D3/'UTCL-Source Data'!D2)-1</f>
        <v>0.000675270294072661</v>
      </c>
      <c r="E32" s="43" t="n">
        <f aca="false">('UTCL-Source Data'!F3/'UTCL-Source Data'!F2)/('UTCL-Source Data'!E3/'UTCL-Source Data'!E2)-1</f>
        <v>0.0598077435798534</v>
      </c>
      <c r="F32" s="43" t="n">
        <f aca="false">('UTCL-Source Data'!G3/'UTCL-Source Data'!G2)/('UTCL-Source Data'!F3/'UTCL-Source Data'!F2)-1</f>
        <v>0.0129018157320551</v>
      </c>
      <c r="G32" s="43" t="n">
        <f aca="false">('UTCL-Source Data'!H3/'UTCL-Source Data'!H2)/('UTCL-Source Data'!G3/'UTCL-Source Data'!G2)-1</f>
        <v>0.0828537767808417</v>
      </c>
      <c r="H32" s="43" t="n">
        <f aca="false">('UTCL-Source Data'!I3/'UTCL-Source Data'!I2)/('UTCL-Source Data'!H3/'UTCL-Source Data'!H2)-1</f>
        <v>0.0632707559405299</v>
      </c>
      <c r="I32" s="43" t="n">
        <f aca="false">('UTCL-Source Data'!J3/'UTCL-Source Data'!J2)/('UTCL-Source Data'!I3/'UTCL-Source Data'!I2)-1</f>
        <v>-0.00577977219552006</v>
      </c>
      <c r="J32" s="43" t="n">
        <f aca="false">('UTCL-Source Data'!K3/'UTCL-Source Data'!K2)/('UTCL-Source Data'!J3/'UTCL-Source Data'!J2)-1</f>
        <v>-0.0608228386209662</v>
      </c>
      <c r="K32" s="43" t="n">
        <f aca="false">('UTCL-Source Data'!L3/'UTCL-Source Data'!L2)/('UTCL-Source Data'!K3/'UTCL-Source Data'!K2)-1</f>
        <v>0.0216011138208883</v>
      </c>
    </row>
    <row r="33" customFormat="false" ht="15" hidden="false" customHeight="true" outlineLevel="0" collapsed="false">
      <c r="A33" s="5" t="s">
        <v>338</v>
      </c>
      <c r="C33" s="43" t="n">
        <f aca="false">'UTCL-Source Data'!D5/'UTCL-Source Data'!C5-1</f>
        <v>0.183940430670155</v>
      </c>
      <c r="D33" s="43" t="n">
        <f aca="false">'UTCL-Source Data'!E5/'UTCL-Source Data'!D5-1</f>
        <v>0.203297637259901</v>
      </c>
      <c r="E33" s="43" t="n">
        <f aca="false">'UTCL-Source Data'!F5/'UTCL-Source Data'!E5-1</f>
        <v>0.222206526345529</v>
      </c>
      <c r="F33" s="43" t="n">
        <f aca="false">'UTCL-Source Data'!G5/'UTCL-Source Data'!F5-1</f>
        <v>0.267337031900139</v>
      </c>
      <c r="G33" s="43" t="n">
        <f aca="false">'UTCL-Source Data'!H5/'UTCL-Source Data'!G5-1</f>
        <v>-0.00264477884176928</v>
      </c>
      <c r="H33" s="43" t="n">
        <f aca="false">'UTCL-Source Data'!I5/'UTCL-Source Data'!H5-1</f>
        <v>-0.0594367227505487</v>
      </c>
      <c r="I33" s="43" t="n">
        <f aca="false">'UTCL-Source Data'!J5/'UTCL-Source Data'!I5-1</f>
        <v>0.226910363601011</v>
      </c>
      <c r="J33" s="43" t="n">
        <f aca="false">'UTCL-Source Data'!K5/'UTCL-Source Data'!J5-1</f>
        <v>-0.0256735340729002</v>
      </c>
      <c r="K33" s="43" t="n">
        <f aca="false">'UTCL-Source Data'!L5/'UTCL-Source Data'!K5-1</f>
        <v>0.255611581001952</v>
      </c>
    </row>
    <row r="35" customFormat="false" ht="75" hidden="false" customHeight="true" outlineLevel="0" collapsed="false">
      <c r="A35" s="16" t="s">
        <v>339</v>
      </c>
      <c r="B35" s="16"/>
      <c r="C35" s="16"/>
      <c r="D35" s="16"/>
      <c r="E35" s="16"/>
      <c r="F35" s="16"/>
      <c r="G35" s="16"/>
      <c r="H35" s="16"/>
      <c r="I35" s="16"/>
      <c r="J35" s="16"/>
      <c r="K35" s="16"/>
    </row>
  </sheetData>
  <mergeCells count="6">
    <mergeCell ref="A5:K5"/>
    <mergeCell ref="A13:K13"/>
    <mergeCell ref="A19:K19"/>
    <mergeCell ref="A24:K24"/>
    <mergeCell ref="A29:K29"/>
    <mergeCell ref="A35:K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6" min="2" style="1" width="14"/>
    <col collapsed="false" customWidth="true" hidden="false" outlineLevel="0" max="7" min="7" style="1" width="44"/>
  </cols>
  <sheetData>
    <row r="1" customFormat="false" ht="15.75" hidden="false" customHeight="true" outlineLevel="0" collapsed="false">
      <c r="A1" s="29" t="s">
        <v>9</v>
      </c>
    </row>
    <row r="3" customFormat="false" ht="15" hidden="false" customHeight="true" outlineLevel="0" collapsed="false">
      <c r="A3" s="8" t="s">
        <v>340</v>
      </c>
      <c r="B3" s="8"/>
      <c r="C3" s="8"/>
      <c r="D3" s="8"/>
      <c r="E3" s="8"/>
      <c r="F3" s="8"/>
      <c r="G3" s="8"/>
    </row>
    <row r="4" customFormat="false" ht="30" hidden="false" customHeight="true" outlineLevel="0" collapsed="false">
      <c r="A4" s="6" t="s">
        <v>341</v>
      </c>
      <c r="B4" s="47" t="n">
        <v>0.25168</v>
      </c>
      <c r="G4" s="31" t="s">
        <v>342</v>
      </c>
    </row>
    <row r="5" customFormat="false" ht="30" hidden="false" customHeight="true" outlineLevel="0" collapsed="false">
      <c r="A5" s="6" t="s">
        <v>343</v>
      </c>
      <c r="B5" s="48" t="n">
        <v>29.468</v>
      </c>
      <c r="G5" s="31" t="s">
        <v>344</v>
      </c>
    </row>
    <row r="6" customFormat="false" ht="30" hidden="false" customHeight="true" outlineLevel="0" collapsed="false">
      <c r="A6" s="6" t="s">
        <v>345</v>
      </c>
      <c r="B6" s="49" t="n">
        <v>10745</v>
      </c>
      <c r="G6" s="31" t="s">
        <v>346</v>
      </c>
    </row>
    <row r="7" customFormat="false" ht="30" hidden="false" customHeight="true" outlineLevel="0" collapsed="false">
      <c r="A7" s="6" t="s">
        <v>347</v>
      </c>
      <c r="B7" s="50" t="n">
        <v>316633</v>
      </c>
      <c r="G7" s="31" t="s">
        <v>348</v>
      </c>
    </row>
    <row r="9" customFormat="false" ht="15" hidden="false" customHeight="true" outlineLevel="0" collapsed="false">
      <c r="A9" s="8" t="s">
        <v>349</v>
      </c>
      <c r="B9" s="8"/>
      <c r="C9" s="8"/>
      <c r="D9" s="8"/>
      <c r="E9" s="8"/>
      <c r="F9" s="8"/>
      <c r="G9" s="8"/>
    </row>
    <row r="10" customFormat="false" ht="150" hidden="false" customHeight="true" outlineLevel="0" collapsed="false">
      <c r="A10" s="6" t="s">
        <v>350</v>
      </c>
      <c r="B10" s="47" t="n">
        <v>0.0685</v>
      </c>
      <c r="G10" s="31" t="s">
        <v>351</v>
      </c>
    </row>
    <row r="11" customFormat="false" ht="30" hidden="false" customHeight="true" outlineLevel="0" collapsed="false">
      <c r="A11" s="6" t="s">
        <v>352</v>
      </c>
      <c r="B11" s="47" t="n">
        <v>0.0187</v>
      </c>
      <c r="G11" s="31" t="s">
        <v>353</v>
      </c>
    </row>
    <row r="12" customFormat="false" ht="45" hidden="false" customHeight="true" outlineLevel="0" collapsed="false">
      <c r="A12" s="6" t="s">
        <v>354</v>
      </c>
      <c r="B12" s="51" t="n">
        <f aca="false">B10-B11</f>
        <v>0.0498</v>
      </c>
      <c r="G12" s="31" t="s">
        <v>355</v>
      </c>
    </row>
    <row r="13" customFormat="false" ht="45" hidden="false" customHeight="true" outlineLevel="0" collapsed="false">
      <c r="A13" s="6" t="s">
        <v>356</v>
      </c>
      <c r="B13" s="47" t="n">
        <v>0.0708</v>
      </c>
      <c r="G13" s="31" t="s">
        <v>357</v>
      </c>
    </row>
    <row r="14" customFormat="false" ht="75" hidden="false" customHeight="true" outlineLevel="0" collapsed="false">
      <c r="A14" s="6" t="s">
        <v>358</v>
      </c>
      <c r="B14" s="52" t="n">
        <v>0.9</v>
      </c>
      <c r="G14" s="31" t="s">
        <v>359</v>
      </c>
    </row>
    <row r="15" customFormat="false" ht="30" hidden="false" customHeight="true" outlineLevel="0" collapsed="false">
      <c r="A15" s="6" t="s">
        <v>360</v>
      </c>
      <c r="B15" s="47" t="n">
        <v>0.064681</v>
      </c>
      <c r="G15" s="31" t="s">
        <v>361</v>
      </c>
    </row>
    <row r="16" customFormat="false" ht="15" hidden="false" customHeight="true" outlineLevel="0" collapsed="false">
      <c r="A16" s="6" t="s">
        <v>362</v>
      </c>
      <c r="B16" s="53" t="n">
        <f aca="false">B14*(1+(1-B4)*B15)</f>
        <v>0.943561877328</v>
      </c>
      <c r="G16" s="3" t="s">
        <v>363</v>
      </c>
    </row>
    <row r="17" customFormat="false" ht="30" hidden="false" customHeight="true" outlineLevel="0" collapsed="false">
      <c r="A17" s="6" t="s">
        <v>364</v>
      </c>
      <c r="B17" s="47" t="n">
        <v>0.0834</v>
      </c>
      <c r="G17" s="31" t="s">
        <v>365</v>
      </c>
    </row>
    <row r="19" customFormat="false" ht="15" hidden="false" customHeight="true" outlineLevel="0" collapsed="false">
      <c r="A19" s="8" t="s">
        <v>366</v>
      </c>
      <c r="B19" s="8"/>
      <c r="C19" s="8"/>
      <c r="D19" s="8"/>
      <c r="E19" s="8"/>
      <c r="F19" s="8"/>
      <c r="G19" s="8"/>
    </row>
    <row r="20" customFormat="false" ht="15" hidden="false" customHeight="true" outlineLevel="0" collapsed="false">
      <c r="A20" s="4" t="s">
        <v>367</v>
      </c>
      <c r="B20" s="4" t="s">
        <v>368</v>
      </c>
      <c r="C20" s="4" t="s">
        <v>369</v>
      </c>
      <c r="D20" s="4" t="s">
        <v>370</v>
      </c>
      <c r="E20" s="4" t="s">
        <v>371</v>
      </c>
      <c r="F20" s="4" t="s">
        <v>372</v>
      </c>
      <c r="G20" s="4"/>
    </row>
    <row r="21" customFormat="false" ht="75" hidden="false" customHeight="true" outlineLevel="0" collapsed="false">
      <c r="A21" s="6" t="s">
        <v>373</v>
      </c>
      <c r="B21" s="54" t="n">
        <v>186</v>
      </c>
      <c r="C21" s="54" t="n">
        <v>195</v>
      </c>
      <c r="D21" s="54" t="n">
        <v>205</v>
      </c>
      <c r="E21" s="54" t="n">
        <v>213</v>
      </c>
      <c r="F21" s="54" t="n">
        <v>220</v>
      </c>
      <c r="G21" s="31" t="s">
        <v>374</v>
      </c>
    </row>
    <row r="22" customFormat="false" ht="75" hidden="false" customHeight="true" outlineLevel="0" collapsed="false">
      <c r="A22" s="6" t="s">
        <v>375</v>
      </c>
      <c r="B22" s="55" t="n">
        <v>0.82</v>
      </c>
      <c r="C22" s="55" t="n">
        <v>0.835</v>
      </c>
      <c r="D22" s="55" t="n">
        <v>0.845</v>
      </c>
      <c r="E22" s="55" t="n">
        <v>0.855</v>
      </c>
      <c r="F22" s="55" t="n">
        <v>0.86</v>
      </c>
      <c r="G22" s="31" t="s">
        <v>376</v>
      </c>
    </row>
    <row r="23" customFormat="false" ht="105" hidden="false" customHeight="true" outlineLevel="0" collapsed="false">
      <c r="A23" s="6" t="s">
        <v>377</v>
      </c>
      <c r="B23" s="55" t="n">
        <v>0.08</v>
      </c>
      <c r="C23" s="55" t="n">
        <v>0.06</v>
      </c>
      <c r="D23" s="55" t="n">
        <v>0.04</v>
      </c>
      <c r="E23" s="55" t="n">
        <v>0.03</v>
      </c>
      <c r="F23" s="55" t="n">
        <v>0.025</v>
      </c>
      <c r="G23" s="31" t="s">
        <v>378</v>
      </c>
    </row>
    <row r="24" customFormat="false" ht="75" hidden="false" customHeight="true" outlineLevel="0" collapsed="false">
      <c r="A24" s="6" t="s">
        <v>379</v>
      </c>
      <c r="B24" s="55" t="n">
        <v>0.050501</v>
      </c>
      <c r="C24" s="55" t="n">
        <v>0.050501</v>
      </c>
      <c r="D24" s="55" t="n">
        <v>0.050501</v>
      </c>
      <c r="E24" s="55" t="n">
        <v>0.050501</v>
      </c>
      <c r="F24" s="55" t="n">
        <v>0.050501</v>
      </c>
      <c r="G24" s="31" t="s">
        <v>380</v>
      </c>
    </row>
    <row r="25" customFormat="false" ht="45" hidden="false" customHeight="true" outlineLevel="0" collapsed="false">
      <c r="A25" s="6" t="s">
        <v>381</v>
      </c>
      <c r="B25" s="55" t="n">
        <v>0.06</v>
      </c>
      <c r="C25" s="55" t="n">
        <v>0.055</v>
      </c>
      <c r="D25" s="55" t="n">
        <v>0.05</v>
      </c>
      <c r="E25" s="55" t="n">
        <v>0.045</v>
      </c>
      <c r="F25" s="55" t="n">
        <v>0.04</v>
      </c>
      <c r="G25" s="31" t="s">
        <v>382</v>
      </c>
    </row>
    <row r="26" customFormat="false" ht="30" hidden="false" customHeight="true" outlineLevel="0" collapsed="false">
      <c r="A26" s="6" t="s">
        <v>383</v>
      </c>
      <c r="B26" s="55" t="n">
        <v>0.25</v>
      </c>
      <c r="C26" s="55" t="n">
        <v>0.252</v>
      </c>
      <c r="D26" s="55" t="n">
        <v>0.254</v>
      </c>
      <c r="E26" s="55" t="n">
        <v>0.256</v>
      </c>
      <c r="F26" s="55" t="n">
        <v>0.258</v>
      </c>
      <c r="G26" s="31" t="s">
        <v>384</v>
      </c>
    </row>
    <row r="27" customFormat="false" ht="120" hidden="false" customHeight="true" outlineLevel="0" collapsed="false">
      <c r="A27" s="6" t="s">
        <v>385</v>
      </c>
      <c r="B27" s="50" t="n">
        <v>9500</v>
      </c>
      <c r="C27" s="50" t="n">
        <v>9500</v>
      </c>
      <c r="D27" s="50" t="n">
        <v>9000</v>
      </c>
      <c r="E27" s="50" t="n">
        <v>8500</v>
      </c>
      <c r="F27" s="50" t="n">
        <v>8500</v>
      </c>
      <c r="G27" s="31" t="s">
        <v>386</v>
      </c>
    </row>
    <row r="28" customFormat="false" ht="30" hidden="false" customHeight="true" outlineLevel="0" collapsed="false">
      <c r="A28" s="6" t="s">
        <v>329</v>
      </c>
      <c r="B28" s="55" t="n">
        <v>-0.0374</v>
      </c>
      <c r="C28" s="55" t="n">
        <v>-0.0374</v>
      </c>
      <c r="D28" s="55" t="n">
        <v>-0.0374</v>
      </c>
      <c r="E28" s="55" t="n">
        <v>-0.0374</v>
      </c>
      <c r="F28" s="55" t="n">
        <v>-0.0374</v>
      </c>
      <c r="G28" s="31" t="s">
        <v>387</v>
      </c>
    </row>
    <row r="30" customFormat="false" ht="15" hidden="false" customHeight="true" outlineLevel="0" collapsed="false">
      <c r="A30" s="8" t="s">
        <v>388</v>
      </c>
      <c r="B30" s="8"/>
      <c r="C30" s="8"/>
      <c r="D30" s="8"/>
      <c r="E30" s="8"/>
      <c r="F30" s="8"/>
      <c r="G30" s="8"/>
    </row>
    <row r="31" customFormat="false" ht="30" hidden="false" customHeight="true" outlineLevel="0" collapsed="false">
      <c r="A31" s="6" t="s">
        <v>389</v>
      </c>
      <c r="B31" s="47" t="n">
        <v>0.065</v>
      </c>
      <c r="G31" s="31" t="s">
        <v>390</v>
      </c>
    </row>
    <row r="32" customFormat="false" ht="15" hidden="false" customHeight="true" outlineLevel="0" collapsed="false">
      <c r="A32" s="6" t="s">
        <v>391</v>
      </c>
      <c r="B32" s="47" t="n">
        <v>0.04</v>
      </c>
      <c r="G32" s="31" t="s">
        <v>392</v>
      </c>
    </row>
    <row r="33" customFormat="false" ht="30" hidden="false" customHeight="true" outlineLevel="0" collapsed="false">
      <c r="A33" s="6" t="s">
        <v>393</v>
      </c>
      <c r="B33" s="51" t="n">
        <f aca="false">(1+B31)*(1+B32)-1</f>
        <v>0.1076</v>
      </c>
      <c r="G33" s="31" t="s">
        <v>394</v>
      </c>
    </row>
    <row r="34" customFormat="false" ht="75" hidden="false" customHeight="true" outlineLevel="0" collapsed="false">
      <c r="A34" s="6" t="s">
        <v>395</v>
      </c>
      <c r="B34" s="47" t="n">
        <v>0.65</v>
      </c>
      <c r="G34" s="31" t="s">
        <v>396</v>
      </c>
    </row>
    <row r="35" customFormat="false" ht="15" hidden="false" customHeight="true" outlineLevel="0" collapsed="false">
      <c r="A35" s="6" t="s">
        <v>397</v>
      </c>
      <c r="B35" s="51" t="n">
        <f aca="false">B33*B34</f>
        <v>0.06994</v>
      </c>
      <c r="G35" s="3" t="s">
        <v>398</v>
      </c>
    </row>
    <row r="36" customFormat="false" ht="60" hidden="false" customHeight="true" outlineLevel="0" collapsed="false">
      <c r="A36" s="6" t="s">
        <v>399</v>
      </c>
      <c r="B36" s="47" t="n">
        <v>0.060751</v>
      </c>
      <c r="G36" s="31" t="s">
        <v>400</v>
      </c>
    </row>
    <row r="38" customFormat="false" ht="15" hidden="false" customHeight="true" outlineLevel="0" collapsed="false">
      <c r="A38" s="8" t="s">
        <v>401</v>
      </c>
      <c r="B38" s="8"/>
      <c r="C38" s="8"/>
      <c r="D38" s="8"/>
      <c r="E38" s="8"/>
      <c r="F38" s="8"/>
      <c r="G38" s="8"/>
    </row>
    <row r="39" customFormat="false" ht="15" hidden="false" customHeight="true" outlineLevel="0" collapsed="false">
      <c r="A39" s="6" t="s">
        <v>213</v>
      </c>
      <c r="B39" s="50" t="n">
        <v>1384.35</v>
      </c>
      <c r="G39" s="31" t="s">
        <v>402</v>
      </c>
    </row>
    <row r="40" customFormat="false" ht="30" hidden="false" customHeight="true" outlineLevel="0" collapsed="false">
      <c r="A40" s="6" t="s">
        <v>403</v>
      </c>
      <c r="B40" s="56" t="n">
        <v>23.241683</v>
      </c>
      <c r="G40" s="31" t="s">
        <v>404</v>
      </c>
    </row>
    <row r="41" customFormat="false" ht="30" hidden="false" customHeight="true" outlineLevel="0" collapsed="false">
      <c r="A41" s="6" t="s">
        <v>405</v>
      </c>
      <c r="B41" s="50" t="n">
        <v>0</v>
      </c>
      <c r="G41" s="31" t="s">
        <v>406</v>
      </c>
    </row>
    <row r="42" customFormat="false" ht="60" hidden="false" customHeight="true" outlineLevel="0" collapsed="false">
      <c r="A42" s="6" t="s">
        <v>407</v>
      </c>
      <c r="B42" s="49"/>
      <c r="G42" s="31" t="s">
        <v>408</v>
      </c>
    </row>
    <row r="43" customFormat="false" ht="15" hidden="false" customHeight="true" outlineLevel="0" collapsed="false">
      <c r="A43" s="6" t="s">
        <v>409</v>
      </c>
      <c r="B43" s="38" t="n">
        <f aca="false">IF(B42="",B41,B40*B42)</f>
        <v>0</v>
      </c>
      <c r="G43" s="3" t="s">
        <v>410</v>
      </c>
    </row>
    <row r="44" customFormat="false" ht="45" hidden="false" customHeight="true" outlineLevel="0" collapsed="false">
      <c r="A44" s="6" t="s">
        <v>411</v>
      </c>
      <c r="B44" s="50" t="n">
        <v>6739.51</v>
      </c>
      <c r="G44" s="31" t="s">
        <v>412</v>
      </c>
    </row>
    <row r="45" customFormat="false" ht="15" hidden="false" customHeight="true" outlineLevel="0" collapsed="false">
      <c r="A45" s="6" t="s">
        <v>212</v>
      </c>
      <c r="B45" s="38" t="n">
        <f aca="false">B43+B44</f>
        <v>6739.51</v>
      </c>
      <c r="G45" s="3" t="s">
        <v>413</v>
      </c>
    </row>
    <row r="46" customFormat="false" ht="15" hidden="false" customHeight="true" outlineLevel="0" collapsed="false">
      <c r="A46" s="6" t="s">
        <v>218</v>
      </c>
      <c r="B46" s="50" t="n">
        <v>22780.66</v>
      </c>
      <c r="G46" s="31" t="s">
        <v>414</v>
      </c>
    </row>
    <row r="47" customFormat="false" ht="15" hidden="false" customHeight="true" outlineLevel="0" collapsed="false">
      <c r="A47" s="6" t="s">
        <v>219</v>
      </c>
      <c r="B47" s="50" t="n">
        <v>974.43</v>
      </c>
      <c r="G47" s="31" t="s">
        <v>415</v>
      </c>
    </row>
    <row r="49" customFormat="false" ht="15" hidden="false" customHeight="true" outlineLevel="0" collapsed="false">
      <c r="A49" s="8" t="s">
        <v>416</v>
      </c>
      <c r="B49" s="8"/>
      <c r="C49" s="8"/>
      <c r="D49" s="8"/>
      <c r="E49" s="8"/>
      <c r="F49" s="8"/>
      <c r="G49" s="8"/>
    </row>
    <row r="50" customFormat="false" ht="15" hidden="false" customHeight="true" outlineLevel="0" collapsed="false">
      <c r="A50" s="6" t="s">
        <v>417</v>
      </c>
      <c r="B50" s="49" t="n">
        <v>140.75</v>
      </c>
      <c r="G50" s="31" t="s">
        <v>418</v>
      </c>
    </row>
    <row r="51" customFormat="false" ht="15" hidden="false" customHeight="true" outlineLevel="0" collapsed="false">
      <c r="A51" s="6" t="s">
        <v>225</v>
      </c>
      <c r="B51" s="57" t="n">
        <v>5838.36</v>
      </c>
      <c r="G51" s="31" t="s">
        <v>419</v>
      </c>
    </row>
    <row r="52" customFormat="false" ht="60" hidden="false" customHeight="true" outlineLevel="0" collapsed="false">
      <c r="A52" s="6" t="s">
        <v>324</v>
      </c>
      <c r="B52" s="57" t="n">
        <v>1096.91</v>
      </c>
      <c r="G52" s="31" t="s">
        <v>420</v>
      </c>
    </row>
    <row r="53" customFormat="false" ht="60" hidden="false" customHeight="true" outlineLevel="0" collapsed="false">
      <c r="A53" s="6" t="s">
        <v>421</v>
      </c>
      <c r="B53" s="49" t="n">
        <v>172.5</v>
      </c>
      <c r="G53" s="31" t="s">
        <v>422</v>
      </c>
    </row>
    <row r="54" customFormat="false" ht="165" hidden="false" customHeight="true" outlineLevel="0" collapsed="false">
      <c r="A54" s="6" t="s">
        <v>423</v>
      </c>
      <c r="B54" s="50" t="n">
        <v>99626.77</v>
      </c>
      <c r="G54" s="31" t="s">
        <v>424</v>
      </c>
    </row>
    <row r="55" customFormat="false" ht="60" hidden="false" customHeight="true" outlineLevel="0" collapsed="false">
      <c r="A55" s="6" t="s">
        <v>425</v>
      </c>
      <c r="B55" s="50" t="n">
        <v>7909.05</v>
      </c>
      <c r="G55" s="31" t="s">
        <v>426</v>
      </c>
    </row>
    <row r="56" customFormat="false" ht="45" hidden="false" customHeight="true" outlineLevel="0" collapsed="false">
      <c r="A56" s="6" t="s">
        <v>427</v>
      </c>
      <c r="B56" s="50" t="n">
        <v>6341.88</v>
      </c>
      <c r="G56" s="31" t="s">
        <v>428</v>
      </c>
    </row>
    <row r="57" customFormat="false" ht="75" hidden="false" customHeight="true" outlineLevel="0" collapsed="false">
      <c r="A57" s="6" t="s">
        <v>429</v>
      </c>
      <c r="B57" s="50" t="n">
        <v>1581.23</v>
      </c>
      <c r="G57" s="31" t="s">
        <v>430</v>
      </c>
    </row>
    <row r="58" customFormat="false" ht="45" hidden="false" customHeight="true" outlineLevel="0" collapsed="false">
      <c r="A58" s="6" t="s">
        <v>431</v>
      </c>
      <c r="B58" s="50" t="n">
        <v>4088.9</v>
      </c>
      <c r="G58" s="31" t="s">
        <v>432</v>
      </c>
    </row>
    <row r="59" customFormat="false" ht="45" hidden="false" customHeight="true" outlineLevel="0" collapsed="false">
      <c r="A59" s="6" t="s">
        <v>65</v>
      </c>
      <c r="B59" s="50" t="n">
        <v>7871.47</v>
      </c>
      <c r="G59" s="31" t="s">
        <v>433</v>
      </c>
    </row>
    <row r="60" customFormat="false" ht="15" hidden="false" customHeight="true" outlineLevel="0" collapsed="false">
      <c r="A60" s="6" t="s">
        <v>214</v>
      </c>
      <c r="B60" s="50" t="n">
        <v>-5865.44</v>
      </c>
      <c r="G60" s="31" t="s">
        <v>434</v>
      </c>
    </row>
    <row r="62" customFormat="false" ht="30" hidden="false" customHeight="true" outlineLevel="0" collapsed="false">
      <c r="A62" s="33" t="s">
        <v>435</v>
      </c>
      <c r="B62" s="33"/>
      <c r="C62" s="33"/>
      <c r="D62" s="33"/>
      <c r="E62" s="33"/>
      <c r="F62" s="33"/>
      <c r="G62" s="33"/>
    </row>
    <row r="64" customFormat="false" ht="15" hidden="false" customHeight="true" outlineLevel="0" collapsed="false">
      <c r="A64" s="8" t="s">
        <v>436</v>
      </c>
      <c r="B64" s="8"/>
      <c r="C64" s="8"/>
      <c r="D64" s="8"/>
      <c r="E64" s="8"/>
      <c r="F64" s="8"/>
      <c r="G64" s="8"/>
      <c r="H64" s="8"/>
      <c r="I64" s="8"/>
      <c r="J64" s="8"/>
      <c r="K64" s="8"/>
      <c r="L64" s="8"/>
      <c r="M64" s="8"/>
    </row>
    <row r="65" customFormat="false" ht="15" hidden="false" customHeight="true" outlineLevel="0" collapsed="false">
      <c r="A65" s="6" t="s">
        <v>437</v>
      </c>
      <c r="B65" s="58" t="n">
        <v>0</v>
      </c>
      <c r="M65" s="59" t="s">
        <v>438</v>
      </c>
    </row>
    <row r="66" customFormat="false" ht="15" hidden="false" customHeight="true" outlineLevel="0" collapsed="false">
      <c r="A66" s="6" t="s">
        <v>439</v>
      </c>
      <c r="B66" s="60" t="n">
        <f aca="false">'UTCL-Cost of Capital'!$B$16+B67</f>
        <v>0.118311823425954</v>
      </c>
    </row>
    <row r="67" customFormat="false" ht="15" hidden="false" customHeight="true" outlineLevel="0" collapsed="false">
      <c r="A67" s="6" t="s">
        <v>440</v>
      </c>
      <c r="B67" s="61" t="n">
        <v>0.005</v>
      </c>
    </row>
    <row r="69" customFormat="false" ht="120" hidden="false" customHeight="true" outlineLevel="0" collapsed="false">
      <c r="A69" s="16" t="s">
        <v>441</v>
      </c>
      <c r="B69" s="16"/>
      <c r="C69" s="16"/>
      <c r="D69" s="16"/>
      <c r="E69" s="16"/>
      <c r="F69" s="16"/>
      <c r="G69" s="16"/>
      <c r="H69" s="16"/>
      <c r="I69" s="16"/>
      <c r="J69" s="16"/>
      <c r="K69" s="16"/>
      <c r="L69" s="16"/>
      <c r="M69" s="16"/>
    </row>
  </sheetData>
  <mergeCells count="9">
    <mergeCell ref="A3:G3"/>
    <mergeCell ref="A9:G9"/>
    <mergeCell ref="A19:G19"/>
    <mergeCell ref="A30:G30"/>
    <mergeCell ref="A38:G38"/>
    <mergeCell ref="A49:G49"/>
    <mergeCell ref="A62:G62"/>
    <mergeCell ref="A64:M64"/>
    <mergeCell ref="A69:M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7" min="3" style="1" width="14"/>
  </cols>
  <sheetData>
    <row r="1" customFormat="false" ht="15" hidden="false" customHeight="true" outlineLevel="0" collapsed="false">
      <c r="A1" s="4" t="s">
        <v>235</v>
      </c>
      <c r="B1" s="4" t="s">
        <v>186</v>
      </c>
      <c r="C1" s="4" t="s">
        <v>442</v>
      </c>
      <c r="D1" s="4" t="s">
        <v>443</v>
      </c>
      <c r="E1" s="4" t="s">
        <v>444</v>
      </c>
      <c r="F1" s="4" t="s">
        <v>445</v>
      </c>
      <c r="G1" s="4" t="s">
        <v>446</v>
      </c>
    </row>
    <row r="2" customFormat="false" ht="15" hidden="false" customHeight="true" outlineLevel="0" collapsed="false">
      <c r="A2" s="5" t="s">
        <v>447</v>
      </c>
      <c r="B2" s="23" t="s">
        <v>198</v>
      </c>
      <c r="C2" s="62" t="n">
        <f aca="false">'UTCL-Assumptions'!B21</f>
        <v>186</v>
      </c>
      <c r="D2" s="62" t="n">
        <f aca="false">'UTCL-Assumptions'!C21</f>
        <v>195</v>
      </c>
      <c r="E2" s="62" t="n">
        <f aca="false">'UTCL-Assumptions'!D21</f>
        <v>205</v>
      </c>
      <c r="F2" s="62" t="n">
        <f aca="false">'UTCL-Assumptions'!E21</f>
        <v>213</v>
      </c>
      <c r="G2" s="62" t="n">
        <f aca="false">'UTCL-Assumptions'!F21</f>
        <v>220</v>
      </c>
    </row>
    <row r="3" customFormat="false" ht="15" hidden="false" customHeight="true" outlineLevel="0" collapsed="false">
      <c r="A3" s="5" t="s">
        <v>375</v>
      </c>
      <c r="B3" s="23" t="s">
        <v>303</v>
      </c>
      <c r="C3" s="27" t="n">
        <f aca="false">'UTCL-Assumptions'!B22</f>
        <v>0.82</v>
      </c>
      <c r="D3" s="27" t="n">
        <f aca="false">'UTCL-Assumptions'!C22</f>
        <v>0.835</v>
      </c>
      <c r="E3" s="27" t="n">
        <f aca="false">'UTCL-Assumptions'!D22</f>
        <v>0.845</v>
      </c>
      <c r="F3" s="27" t="n">
        <f aca="false">'UTCL-Assumptions'!E22</f>
        <v>0.855</v>
      </c>
      <c r="G3" s="27" t="n">
        <f aca="false">'UTCL-Assumptions'!F22</f>
        <v>0.86</v>
      </c>
    </row>
    <row r="4" customFormat="false" ht="15" hidden="false" customHeight="true" outlineLevel="0" collapsed="false">
      <c r="A4" s="6" t="s">
        <v>243</v>
      </c>
      <c r="B4" s="23" t="s">
        <v>198</v>
      </c>
      <c r="C4" s="42" t="n">
        <f aca="false">C2*C3</f>
        <v>152.52</v>
      </c>
      <c r="D4" s="42" t="n">
        <f aca="false">D2*D3</f>
        <v>162.825</v>
      </c>
      <c r="E4" s="42" t="n">
        <f aca="false">E2*E3</f>
        <v>173.225</v>
      </c>
      <c r="F4" s="42" t="n">
        <f aca="false">F2*F3</f>
        <v>182.115</v>
      </c>
      <c r="G4" s="42" t="n">
        <f aca="false">G2*G3</f>
        <v>189.2</v>
      </c>
    </row>
    <row r="5" customFormat="false" ht="15" hidden="false" customHeight="true" outlineLevel="0" collapsed="false">
      <c r="A5" s="5" t="s">
        <v>448</v>
      </c>
      <c r="B5" s="23" t="s">
        <v>449</v>
      </c>
      <c r="C5" s="63" t="n">
        <f aca="false">'UTCL-Assumptions'!$B$52*(1+'UTCL-Assumptions'!B23)</f>
        <v>1184.6628</v>
      </c>
      <c r="D5" s="63" t="n">
        <f aca="false">C5*(1+'UTCL-Assumptions'!C23)</f>
        <v>1255.742568</v>
      </c>
      <c r="E5" s="63" t="n">
        <f aca="false">D5*(1+'UTCL-Assumptions'!D23)</f>
        <v>1305.97227072</v>
      </c>
      <c r="F5" s="63" t="n">
        <f aca="false">E5*(1+'UTCL-Assumptions'!E23)</f>
        <v>1345.1514388416</v>
      </c>
      <c r="G5" s="63" t="n">
        <f aca="false">F5*(1+'UTCL-Assumptions'!F23)</f>
        <v>1378.78022481264</v>
      </c>
    </row>
    <row r="6" customFormat="false" ht="15" hidden="false" customHeight="true" outlineLevel="0" collapsed="false">
      <c r="A6" s="5" t="s">
        <v>450</v>
      </c>
      <c r="B6" s="23" t="s">
        <v>449</v>
      </c>
      <c r="C6" s="63" t="n">
        <f aca="false">'UTCL-Assumptions'!$B$51*(1+'UTCL-Assumptions'!B23*0.5)</f>
        <v>6071.8944</v>
      </c>
      <c r="D6" s="63" t="n">
        <f aca="false">C6*(1+'UTCL-Assumptions'!C23*0.5)</f>
        <v>6254.051232</v>
      </c>
      <c r="E6" s="63" t="n">
        <f aca="false">D6*(1+'UTCL-Assumptions'!D23*0.5)</f>
        <v>6379.13225664</v>
      </c>
      <c r="F6" s="63" t="n">
        <f aca="false">E6*(1+'UTCL-Assumptions'!E23*0.5)</f>
        <v>6474.8192404896</v>
      </c>
      <c r="G6" s="63" t="n">
        <f aca="false">F6*(1+'UTCL-Assumptions'!F23*0.5)</f>
        <v>6555.75448099572</v>
      </c>
    </row>
    <row r="7" customFormat="false" ht="15" hidden="false" customHeight="true" outlineLevel="0" collapsed="false">
      <c r="A7" s="6" t="s">
        <v>451</v>
      </c>
      <c r="B7" s="23" t="s">
        <v>200</v>
      </c>
      <c r="C7" s="38" t="n">
        <f aca="false">C4*C6/10</f>
        <v>92608.5333888</v>
      </c>
      <c r="D7" s="38" t="n">
        <f aca="false">D4*D6/10</f>
        <v>101831.58918504</v>
      </c>
      <c r="E7" s="38" t="n">
        <f aca="false">E4*E6/10</f>
        <v>110502.518515646</v>
      </c>
      <c r="F7" s="38" t="n">
        <f aca="false">F4*F6/10</f>
        <v>117916.170598176</v>
      </c>
      <c r="G7" s="38" t="n">
        <f aca="false">G4*G6/10</f>
        <v>124034.874780439</v>
      </c>
    </row>
    <row r="8" customFormat="false" ht="15" hidden="false" customHeight="true" outlineLevel="0" collapsed="false">
      <c r="A8" s="6" t="s">
        <v>452</v>
      </c>
      <c r="B8" s="23" t="s">
        <v>200</v>
      </c>
      <c r="C8" s="38" t="n">
        <f aca="false">C4*C5/10</f>
        <v>18068.4770256</v>
      </c>
      <c r="D8" s="38" t="n">
        <f aca="false">D4*D5/10</f>
        <v>20446.62836346</v>
      </c>
      <c r="E8" s="38" t="n">
        <f aca="false">E4*E5/10</f>
        <v>22622.7046595472</v>
      </c>
      <c r="F8" s="38" t="n">
        <f aca="false">F4*F5/10</f>
        <v>24497.2254284638</v>
      </c>
      <c r="G8" s="38" t="n">
        <f aca="false">G4*G5/10</f>
        <v>26086.5218534551</v>
      </c>
    </row>
    <row r="10" customFormat="false" ht="15" hidden="false" customHeight="true" outlineLevel="0" collapsed="false">
      <c r="A10" s="5" t="s">
        <v>453</v>
      </c>
      <c r="B10" s="23" t="s">
        <v>200</v>
      </c>
      <c r="C10" s="28" t="n">
        <f aca="false">'UTCL-Assumptions'!$B$56*(1+'UTCL-Assumptions'!B25)</f>
        <v>6722.3928</v>
      </c>
      <c r="D10" s="28" t="n">
        <f aca="false">C10*(1+'UTCL-Assumptions'!C25)</f>
        <v>7092.124404</v>
      </c>
      <c r="E10" s="28" t="n">
        <f aca="false">D10*(1+'UTCL-Assumptions'!D25)</f>
        <v>7446.7306242</v>
      </c>
      <c r="F10" s="28" t="n">
        <f aca="false">E10*(1+'UTCL-Assumptions'!E25)</f>
        <v>7781.833502289</v>
      </c>
      <c r="G10" s="28" t="n">
        <f aca="false">F10*(1+'UTCL-Assumptions'!F25)</f>
        <v>8093.10684238056</v>
      </c>
    </row>
    <row r="11" customFormat="false" ht="15" hidden="false" customHeight="true" outlineLevel="0" collapsed="false">
      <c r="A11" s="5" t="s">
        <v>383</v>
      </c>
      <c r="B11" s="23" t="s">
        <v>200</v>
      </c>
      <c r="C11" s="27" t="n">
        <f aca="false">'UTCL-Assumptions'!B26</f>
        <v>0.25</v>
      </c>
      <c r="D11" s="27" t="n">
        <f aca="false">'UTCL-Assumptions'!C26</f>
        <v>0.252</v>
      </c>
      <c r="E11" s="27" t="n">
        <f aca="false">'UTCL-Assumptions'!D26</f>
        <v>0.254</v>
      </c>
      <c r="F11" s="27" t="n">
        <f aca="false">'UTCL-Assumptions'!E26</f>
        <v>0.256</v>
      </c>
      <c r="G11" s="27" t="n">
        <f aca="false">'UTCL-Assumptions'!F26</f>
        <v>0.258</v>
      </c>
    </row>
    <row r="12" customFormat="false" ht="15" hidden="false" customHeight="true" outlineLevel="0" collapsed="false">
      <c r="A12" s="6" t="s">
        <v>454</v>
      </c>
      <c r="B12" s="23" t="s">
        <v>200</v>
      </c>
      <c r="C12" s="38" t="n">
        <f aca="false">C10*C11</f>
        <v>1680.5982</v>
      </c>
      <c r="D12" s="38" t="n">
        <f aca="false">D10*D11</f>
        <v>1787.215349808</v>
      </c>
      <c r="E12" s="38" t="n">
        <f aca="false">E10*E11</f>
        <v>1891.4695785468</v>
      </c>
      <c r="F12" s="38" t="n">
        <f aca="false">F10*F11</f>
        <v>1992.14937658598</v>
      </c>
      <c r="G12" s="38" t="n">
        <f aca="false">G10*G11</f>
        <v>2088.02156533418</v>
      </c>
    </row>
    <row r="14" customFormat="false" ht="15" hidden="false" customHeight="true" outlineLevel="0" collapsed="false">
      <c r="A14" s="6" t="s">
        <v>237</v>
      </c>
      <c r="B14" s="23" t="s">
        <v>200</v>
      </c>
      <c r="C14" s="38" t="n">
        <f aca="false">C7+C10</f>
        <v>99330.9261888</v>
      </c>
      <c r="D14" s="38" t="n">
        <f aca="false">D7+D10</f>
        <v>108923.71358904</v>
      </c>
      <c r="E14" s="38" t="n">
        <f aca="false">E7+E10</f>
        <v>117949.249139846</v>
      </c>
      <c r="F14" s="38" t="n">
        <f aca="false">F7+F10</f>
        <v>125698.004100465</v>
      </c>
      <c r="G14" s="38" t="n">
        <f aca="false">G7+G10</f>
        <v>132127.98162282</v>
      </c>
    </row>
    <row r="15" customFormat="false" ht="15" hidden="false" customHeight="true" outlineLevel="0" collapsed="false">
      <c r="A15" s="6" t="s">
        <v>202</v>
      </c>
      <c r="B15" s="23" t="s">
        <v>200</v>
      </c>
      <c r="C15" s="38" t="n">
        <f aca="false">C8+C12</f>
        <v>19749.0752256</v>
      </c>
      <c r="D15" s="38" t="n">
        <f aca="false">D8+D12</f>
        <v>22233.843713268</v>
      </c>
      <c r="E15" s="38" t="n">
        <f aca="false">E8+E12</f>
        <v>24514.174238094</v>
      </c>
      <c r="F15" s="38" t="n">
        <f aca="false">F8+F12</f>
        <v>26489.3748050498</v>
      </c>
      <c r="G15" s="38" t="n">
        <f aca="false">G8+G12</f>
        <v>28174.5434187893</v>
      </c>
    </row>
    <row r="16" customFormat="false" ht="15" hidden="false" customHeight="true" outlineLevel="0" collapsed="false">
      <c r="A16" s="5" t="s">
        <v>455</v>
      </c>
      <c r="B16" s="23" t="s">
        <v>200</v>
      </c>
      <c r="C16" s="28" t="n">
        <f aca="false">'UTCL-Assumptions'!$B$54</f>
        <v>99626.77</v>
      </c>
      <c r="D16" s="28" t="n">
        <f aca="false">C19</f>
        <v>104095.51848823</v>
      </c>
      <c r="E16" s="28" t="n">
        <f aca="false">D19</f>
        <v>108338.590709056</v>
      </c>
      <c r="F16" s="28" t="n">
        <f aca="false">E19</f>
        <v>111867.383539658</v>
      </c>
      <c r="G16" s="28" t="n">
        <f aca="false">F19</f>
        <v>114717.968803522</v>
      </c>
    </row>
    <row r="17" customFormat="false" ht="15" hidden="false" customHeight="true" outlineLevel="0" collapsed="false">
      <c r="A17" s="5" t="s">
        <v>204</v>
      </c>
      <c r="B17" s="23" t="s">
        <v>200</v>
      </c>
      <c r="C17" s="28" t="n">
        <f aca="false">C16*'UTCL-Assumptions'!B24</f>
        <v>5031.25151177</v>
      </c>
      <c r="D17" s="28" t="n">
        <f aca="false">D16*'UTCL-Assumptions'!C24</f>
        <v>5256.9277791741</v>
      </c>
      <c r="E17" s="28" t="n">
        <f aca="false">E16*'UTCL-Assumptions'!D24</f>
        <v>5471.20716939803</v>
      </c>
      <c r="F17" s="28" t="n">
        <f aca="false">F16*'UTCL-Assumptions'!E24</f>
        <v>5649.41473613626</v>
      </c>
      <c r="G17" s="28" t="n">
        <f aca="false">G16*'UTCL-Assumptions'!F24</f>
        <v>5793.37214254665</v>
      </c>
    </row>
    <row r="18" customFormat="false" ht="15" hidden="false" customHeight="true" outlineLevel="0" collapsed="false">
      <c r="A18" s="5" t="s">
        <v>385</v>
      </c>
      <c r="B18" s="23" t="s">
        <v>200</v>
      </c>
      <c r="C18" s="28" t="n">
        <f aca="false">'UTCL-Assumptions'!B27</f>
        <v>9500</v>
      </c>
      <c r="D18" s="28" t="n">
        <f aca="false">'UTCL-Assumptions'!C27</f>
        <v>9500</v>
      </c>
      <c r="E18" s="28" t="n">
        <f aca="false">'UTCL-Assumptions'!D27</f>
        <v>9000</v>
      </c>
      <c r="F18" s="28" t="n">
        <f aca="false">'UTCL-Assumptions'!E27</f>
        <v>8500</v>
      </c>
      <c r="G18" s="28" t="n">
        <f aca="false">'UTCL-Assumptions'!F27</f>
        <v>8500</v>
      </c>
    </row>
    <row r="19" customFormat="false" ht="15" hidden="false" customHeight="true" outlineLevel="0" collapsed="false">
      <c r="A19" s="5" t="s">
        <v>456</v>
      </c>
      <c r="B19" s="23" t="s">
        <v>200</v>
      </c>
      <c r="C19" s="28" t="n">
        <f aca="false">C16+C18-C17</f>
        <v>104095.51848823</v>
      </c>
      <c r="D19" s="28" t="n">
        <f aca="false">D16+D18-D17</f>
        <v>108338.590709056</v>
      </c>
      <c r="E19" s="28" t="n">
        <f aca="false">E16+E18-E17</f>
        <v>111867.383539658</v>
      </c>
      <c r="F19" s="28" t="n">
        <f aca="false">F16+F18-F17</f>
        <v>114717.968803522</v>
      </c>
      <c r="G19" s="28" t="n">
        <f aca="false">G16+G18-G17</f>
        <v>117424.596660975</v>
      </c>
    </row>
    <row r="20" customFormat="false" ht="15" hidden="false" customHeight="true" outlineLevel="0" collapsed="false">
      <c r="A20" s="6" t="s">
        <v>205</v>
      </c>
      <c r="B20" s="23" t="s">
        <v>200</v>
      </c>
      <c r="C20" s="38" t="n">
        <f aca="false">C15-C17</f>
        <v>14717.82371383</v>
      </c>
      <c r="D20" s="38" t="n">
        <f aca="false">D15-D17</f>
        <v>16976.9159340939</v>
      </c>
      <c r="E20" s="38" t="n">
        <f aca="false">E15-E17</f>
        <v>19042.967068696</v>
      </c>
      <c r="F20" s="38" t="n">
        <f aca="false">F15-F17</f>
        <v>20839.9600689135</v>
      </c>
      <c r="G20" s="38" t="n">
        <f aca="false">G15-G17</f>
        <v>22381.1712762427</v>
      </c>
    </row>
    <row r="21" customFormat="false" ht="15" hidden="false" customHeight="true" outlineLevel="0" collapsed="false">
      <c r="A21" s="6" t="s">
        <v>227</v>
      </c>
      <c r="B21" s="23" t="s">
        <v>200</v>
      </c>
      <c r="C21" s="38" t="n">
        <f aca="false">C20*(1-'UTCL-Assumptions'!$B$4)</f>
        <v>11013.6418415333</v>
      </c>
      <c r="D21" s="38" t="n">
        <f aca="false">D20*(1-'UTCL-Assumptions'!$B$4)</f>
        <v>12704.1657318011</v>
      </c>
      <c r="E21" s="38" t="n">
        <f aca="false">E20*(1-'UTCL-Assumptions'!$B$4)</f>
        <v>14250.2331168466</v>
      </c>
      <c r="F21" s="38" t="n">
        <f aca="false">F20*(1-'UTCL-Assumptions'!$B$4)</f>
        <v>15594.9589187694</v>
      </c>
      <c r="G21" s="38" t="n">
        <f aca="false">G20*(1-'UTCL-Assumptions'!$B$4)</f>
        <v>16748.2780894379</v>
      </c>
    </row>
    <row r="22" customFormat="false" ht="15" hidden="false" customHeight="true" outlineLevel="0" collapsed="false">
      <c r="A22" s="5" t="s">
        <v>457</v>
      </c>
      <c r="B22" s="23" t="s">
        <v>200</v>
      </c>
      <c r="C22" s="28" t="n">
        <f aca="false">C14*'UTCL-Assumptions'!B28</f>
        <v>-3714.97663946112</v>
      </c>
      <c r="D22" s="28" t="n">
        <f aca="false">D14*'UTCL-Assumptions'!C28</f>
        <v>-4073.7468882301</v>
      </c>
      <c r="E22" s="28" t="n">
        <f aca="false">E14*'UTCL-Assumptions'!D28</f>
        <v>-4411.30191783026</v>
      </c>
      <c r="F22" s="28" t="n">
        <f aca="false">F14*'UTCL-Assumptions'!E28</f>
        <v>-4701.10535335741</v>
      </c>
      <c r="G22" s="28" t="n">
        <f aca="false">G14*'UTCL-Assumptions'!F28</f>
        <v>-4941.58651269345</v>
      </c>
    </row>
    <row r="23" customFormat="false" ht="15" hidden="false" customHeight="true" outlineLevel="0" collapsed="false">
      <c r="A23" s="5" t="s">
        <v>458</v>
      </c>
      <c r="B23" s="23" t="s">
        <v>200</v>
      </c>
      <c r="C23" s="28" t="n">
        <f aca="false">C22-'UTCL-Assumptions'!$B$60</f>
        <v>2150.46336053888</v>
      </c>
      <c r="D23" s="28" t="n">
        <f aca="false">D22-C22</f>
        <v>-358.770248768977</v>
      </c>
      <c r="E23" s="28" t="n">
        <f aca="false">E22-D22</f>
        <v>-337.55502960016</v>
      </c>
      <c r="F23" s="28" t="n">
        <f aca="false">F22-E22</f>
        <v>-289.803435527148</v>
      </c>
      <c r="G23" s="28" t="n">
        <f aca="false">G22-F22</f>
        <v>-240.481159336048</v>
      </c>
    </row>
    <row r="24" customFormat="false" ht="15" hidden="false" customHeight="true" outlineLevel="0" collapsed="false">
      <c r="A24" s="6" t="s">
        <v>17</v>
      </c>
      <c r="B24" s="23" t="s">
        <v>200</v>
      </c>
      <c r="C24" s="38" t="n">
        <f aca="false">C21+C17-C18-C23</f>
        <v>4394.42999276439</v>
      </c>
      <c r="D24" s="38" t="n">
        <f aca="false">D21+D17-D18-D23</f>
        <v>8819.86375974422</v>
      </c>
      <c r="E24" s="38" t="n">
        <f aca="false">E21+E17-E18-E23</f>
        <v>11058.9953158448</v>
      </c>
      <c r="F24" s="38" t="n">
        <f aca="false">F21+F17-F18-F23</f>
        <v>13034.1770904328</v>
      </c>
      <c r="G24" s="38" t="n">
        <f aca="false">G21+G17-G18-G23</f>
        <v>14282.1313913206</v>
      </c>
    </row>
    <row r="26" customFormat="false" ht="15" hidden="false" customHeight="true" outlineLevel="0" collapsed="false">
      <c r="A26" s="5" t="s">
        <v>459</v>
      </c>
      <c r="B26" s="23" t="s">
        <v>200</v>
      </c>
      <c r="C26" s="27" t="n">
        <f aca="false">IFERROR(C18/C14,"")</f>
        <v>0.095639901534223</v>
      </c>
      <c r="D26" s="27" t="n">
        <f aca="false">IFERROR(D18/D14,"")</f>
        <v>0.0872170043324331</v>
      </c>
      <c r="E26" s="27" t="n">
        <f aca="false">IFERROR(E18/E14,"")</f>
        <v>0.0763040041851319</v>
      </c>
      <c r="F26" s="27" t="n">
        <f aca="false">IFERROR(F18/F14,"")</f>
        <v>0.067622394331785</v>
      </c>
      <c r="G26" s="27" t="n">
        <f aca="false">IFERROR(G18/G14,"")</f>
        <v>0.0643315662254238</v>
      </c>
    </row>
    <row r="27" customFormat="false" ht="15" hidden="false" customHeight="true" outlineLevel="0" collapsed="false">
      <c r="A27" s="5" t="s">
        <v>460</v>
      </c>
      <c r="B27" s="23" t="s">
        <v>200</v>
      </c>
      <c r="C27" s="27" t="n">
        <f aca="false">IFERROR(C15/C14,"")</f>
        <v>0.198821011575615</v>
      </c>
      <c r="D27" s="27" t="n">
        <f aca="false">IFERROR(D15/D14,"")</f>
        <v>0.204123078259656</v>
      </c>
      <c r="E27" s="27" t="n">
        <f aca="false">IFERROR(E15/E14,"")</f>
        <v>0.207836628184286</v>
      </c>
      <c r="F27" s="27" t="n">
        <f aca="false">IFERROR(F15/F14,"")</f>
        <v>0.210738229255239</v>
      </c>
      <c r="G27" s="27" t="n">
        <f aca="false">IFERROR(G15/G14,"")</f>
        <v>0.213236765390226</v>
      </c>
    </row>
    <row r="29" customFormat="false" ht="90" hidden="false" customHeight="true" outlineLevel="0" collapsed="false">
      <c r="A29" s="16" t="s">
        <v>461</v>
      </c>
      <c r="B29" s="16"/>
      <c r="C29" s="16"/>
      <c r="D29" s="16"/>
      <c r="E29" s="16"/>
      <c r="F29" s="16"/>
      <c r="G29" s="16"/>
    </row>
  </sheetData>
  <mergeCells count="1">
    <mergeCell ref="A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7" min="3" style="1" width="14"/>
  </cols>
  <sheetData>
    <row r="1" customFormat="false" ht="15" hidden="false" customHeight="true" outlineLevel="0" collapsed="false">
      <c r="A1" s="4" t="s">
        <v>235</v>
      </c>
      <c r="B1" s="4" t="s">
        <v>186</v>
      </c>
      <c r="C1" s="4" t="s">
        <v>442</v>
      </c>
      <c r="D1" s="4" t="s">
        <v>443</v>
      </c>
      <c r="E1" s="4" t="s">
        <v>444</v>
      </c>
      <c r="F1" s="4" t="s">
        <v>445</v>
      </c>
      <c r="G1" s="4" t="s">
        <v>446</v>
      </c>
    </row>
    <row r="2" customFormat="false" ht="15" hidden="false" customHeight="true" outlineLevel="0" collapsed="false">
      <c r="A2" s="6" t="s">
        <v>462</v>
      </c>
      <c r="B2" s="23" t="s">
        <v>200</v>
      </c>
      <c r="C2" s="38" t="n">
        <f aca="false">'UTCL-Assumptions'!$B$54+'UTCL-Assumptions'!$B$60</f>
        <v>93761.33</v>
      </c>
      <c r="D2" s="38" t="n">
        <f aca="false">C6</f>
        <v>100380.541848769</v>
      </c>
      <c r="E2" s="38" t="n">
        <f aca="false">D6</f>
        <v>104264.843820826</v>
      </c>
      <c r="F2" s="38" t="n">
        <f aca="false">E6</f>
        <v>107456.081621828</v>
      </c>
      <c r="G2" s="38" t="n">
        <f aca="false">F6</f>
        <v>110016.863450164</v>
      </c>
    </row>
    <row r="3" customFormat="false" ht="15" hidden="false" customHeight="true" outlineLevel="0" collapsed="false">
      <c r="A3" s="5" t="s">
        <v>463</v>
      </c>
      <c r="B3" s="23" t="s">
        <v>200</v>
      </c>
      <c r="C3" s="28" t="n">
        <f aca="false">'UTCL-P&amp;L'!C18</f>
        <v>9500</v>
      </c>
      <c r="D3" s="28" t="n">
        <f aca="false">'UTCL-P&amp;L'!D18</f>
        <v>9500</v>
      </c>
      <c r="E3" s="28" t="n">
        <f aca="false">'UTCL-P&amp;L'!E18</f>
        <v>9000</v>
      </c>
      <c r="F3" s="28" t="n">
        <f aca="false">'UTCL-P&amp;L'!F18</f>
        <v>8500</v>
      </c>
      <c r="G3" s="28" t="n">
        <f aca="false">'UTCL-P&amp;L'!G18</f>
        <v>8500</v>
      </c>
    </row>
    <row r="4" customFormat="false" ht="15" hidden="false" customHeight="true" outlineLevel="0" collapsed="false">
      <c r="A4" s="5" t="s">
        <v>464</v>
      </c>
      <c r="B4" s="23" t="s">
        <v>200</v>
      </c>
      <c r="C4" s="28" t="n">
        <f aca="false">-'UTCL-P&amp;L'!C17</f>
        <v>-5031.25151177</v>
      </c>
      <c r="D4" s="28" t="n">
        <f aca="false">-'UTCL-P&amp;L'!D17</f>
        <v>-5256.9277791741</v>
      </c>
      <c r="E4" s="28" t="n">
        <f aca="false">-'UTCL-P&amp;L'!E17</f>
        <v>-5471.20716939803</v>
      </c>
      <c r="F4" s="28" t="n">
        <f aca="false">-'UTCL-P&amp;L'!F17</f>
        <v>-5649.41473613626</v>
      </c>
      <c r="G4" s="28" t="n">
        <f aca="false">-'UTCL-P&amp;L'!G17</f>
        <v>-5793.37214254665</v>
      </c>
    </row>
    <row r="5" customFormat="false" ht="15" hidden="false" customHeight="true" outlineLevel="0" collapsed="false">
      <c r="A5" s="5" t="s">
        <v>465</v>
      </c>
      <c r="B5" s="23" t="s">
        <v>200</v>
      </c>
      <c r="C5" s="28" t="n">
        <f aca="false">'UTCL-P&amp;L'!C23</f>
        <v>2150.46336053888</v>
      </c>
      <c r="D5" s="28" t="n">
        <f aca="false">'UTCL-P&amp;L'!D23</f>
        <v>-358.770248768977</v>
      </c>
      <c r="E5" s="28" t="n">
        <f aca="false">'UTCL-P&amp;L'!E23</f>
        <v>-337.55502960016</v>
      </c>
      <c r="F5" s="28" t="n">
        <f aca="false">'UTCL-P&amp;L'!F23</f>
        <v>-289.803435527148</v>
      </c>
      <c r="G5" s="28" t="n">
        <f aca="false">'UTCL-P&amp;L'!G23</f>
        <v>-240.481159336048</v>
      </c>
    </row>
    <row r="6" customFormat="false" ht="15" hidden="false" customHeight="true" outlineLevel="0" collapsed="false">
      <c r="A6" s="6" t="s">
        <v>466</v>
      </c>
      <c r="B6" s="23" t="s">
        <v>200</v>
      </c>
      <c r="C6" s="38" t="n">
        <f aca="false">SUM(C2:C5)</f>
        <v>100380.541848769</v>
      </c>
      <c r="D6" s="38" t="n">
        <f aca="false">SUM(D2:D5)</f>
        <v>104264.843820826</v>
      </c>
      <c r="E6" s="38" t="n">
        <f aca="false">SUM(E2:E5)</f>
        <v>107456.081621828</v>
      </c>
      <c r="F6" s="38" t="n">
        <f aca="false">SUM(F2:F5)</f>
        <v>110016.863450164</v>
      </c>
      <c r="G6" s="38" t="n">
        <f aca="false">SUM(G2:G5)</f>
        <v>112483.010148282</v>
      </c>
    </row>
    <row r="8" customFormat="false" ht="15" hidden="false" customHeight="true" outlineLevel="0" collapsed="false">
      <c r="A8" s="5" t="s">
        <v>467</v>
      </c>
      <c r="B8" s="23" t="s">
        <v>200</v>
      </c>
      <c r="C8" s="28" t="n">
        <f aca="false">'UTCL-P&amp;L'!C21</f>
        <v>11013.6418415333</v>
      </c>
      <c r="D8" s="28" t="n">
        <f aca="false">'UTCL-P&amp;L'!D21</f>
        <v>12704.1657318011</v>
      </c>
      <c r="E8" s="28" t="n">
        <f aca="false">'UTCL-P&amp;L'!E21</f>
        <v>14250.2331168466</v>
      </c>
      <c r="F8" s="28" t="n">
        <f aca="false">'UTCL-P&amp;L'!F21</f>
        <v>15594.9589187694</v>
      </c>
      <c r="G8" s="28" t="n">
        <f aca="false">'UTCL-P&amp;L'!G21</f>
        <v>16748.2780894379</v>
      </c>
    </row>
    <row r="9" customFormat="false" ht="15" hidden="false" customHeight="true" outlineLevel="0" collapsed="false">
      <c r="A9" s="6" t="s">
        <v>228</v>
      </c>
      <c r="B9" s="23" t="s">
        <v>200</v>
      </c>
      <c r="C9" s="37" t="n">
        <f aca="false">IFERROR(C8/C2,"")</f>
        <v>0.117464650315149</v>
      </c>
      <c r="D9" s="37" t="n">
        <f aca="false">IFERROR(D8/D2,"")</f>
        <v>0.126560043389096</v>
      </c>
      <c r="E9" s="37" t="n">
        <f aca="false">IFERROR(E8/E2,"")</f>
        <v>0.136673423127501</v>
      </c>
      <c r="F9" s="37" t="n">
        <f aca="false">IFERROR(F8/F2,"")</f>
        <v>0.145128676603461</v>
      </c>
      <c r="G9" s="37" t="n">
        <f aca="false">IFERROR(G8/G2,"")</f>
        <v>0.152233735485693</v>
      </c>
    </row>
    <row r="10" customFormat="false" ht="15" hidden="false" customHeight="true" outlineLevel="0" collapsed="false">
      <c r="A10" s="5" t="s">
        <v>468</v>
      </c>
      <c r="B10" s="23" t="s">
        <v>200</v>
      </c>
      <c r="C10" s="28" t="n">
        <f aca="false">C6-C2</f>
        <v>6619.21184876889</v>
      </c>
      <c r="D10" s="28" t="n">
        <f aca="false">D6-D2</f>
        <v>3884.30197205691</v>
      </c>
      <c r="E10" s="28" t="n">
        <f aca="false">E6-E2</f>
        <v>3191.23780100181</v>
      </c>
      <c r="F10" s="28" t="n">
        <f aca="false">F6-F2</f>
        <v>2560.78182833659</v>
      </c>
      <c r="G10" s="28" t="n">
        <f aca="false">G6-G2</f>
        <v>2466.1466981173</v>
      </c>
    </row>
    <row r="11" customFormat="false" ht="15" hidden="false" customHeight="true" outlineLevel="0" collapsed="false">
      <c r="A11" s="5" t="s">
        <v>469</v>
      </c>
      <c r="B11" s="23" t="s">
        <v>200</v>
      </c>
      <c r="C11" s="27" t="n">
        <f aca="false">IFERROR(C10/C8,"")</f>
        <v>0.601001189616258</v>
      </c>
      <c r="D11" s="27" t="n">
        <f aca="false">IFERROR(D10/D8,"")</f>
        <v>0.305750259722581</v>
      </c>
      <c r="E11" s="27" t="n">
        <f aca="false">IFERROR(E10/E8,"")</f>
        <v>0.223942848852707</v>
      </c>
      <c r="F11" s="27" t="n">
        <f aca="false">IFERROR(F10/F8,"")</f>
        <v>0.16420574377112</v>
      </c>
      <c r="G11" s="27" t="n">
        <f aca="false">IFERROR(G10/G8,"")</f>
        <v>0.147247775857779</v>
      </c>
    </row>
    <row r="13" customFormat="false" ht="15" hidden="false" customHeight="true" outlineLevel="0" collapsed="false">
      <c r="A13" s="26" t="s">
        <v>470</v>
      </c>
      <c r="B13" s="26"/>
      <c r="C13" s="26"/>
      <c r="D13" s="26"/>
      <c r="E13" s="26"/>
      <c r="F13" s="26"/>
      <c r="G13" s="26"/>
    </row>
    <row r="14" customFormat="false" ht="15" hidden="false" customHeight="true" outlineLevel="0" collapsed="false">
      <c r="A14" s="5" t="s">
        <v>471</v>
      </c>
      <c r="C14" s="28" t="n">
        <f aca="false">G8*(1+'UTCL-Assumptions'!$B$35)</f>
        <v>17919.6526590132</v>
      </c>
    </row>
    <row r="15" customFormat="false" ht="15" hidden="false" customHeight="true" outlineLevel="0" collapsed="false">
      <c r="A15" s="5" t="s">
        <v>472</v>
      </c>
      <c r="C15" s="28" t="n">
        <f aca="false">G6</f>
        <v>112483.010148282</v>
      </c>
    </row>
    <row r="16" customFormat="false" ht="15" hidden="false" customHeight="true" outlineLevel="0" collapsed="false">
      <c r="A16" s="5" t="s">
        <v>473</v>
      </c>
      <c r="C16" s="28" t="n">
        <f aca="false">IF('UTCL-Assumptions'!$B$65=1,C14*('UTCL-Assumptions'!$B$35/'UTCL-Assumptions'!$B$66),'UTCL-Assumptions'!$B$35*C15)</f>
        <v>7867.0617297708</v>
      </c>
    </row>
    <row r="17" customFormat="false" ht="15" hidden="false" customHeight="true" outlineLevel="0" collapsed="false">
      <c r="A17" s="6" t="s">
        <v>474</v>
      </c>
      <c r="C17" s="38" t="n">
        <f aca="false">C14-C16</f>
        <v>10052.5909292424</v>
      </c>
    </row>
    <row r="18" customFormat="false" ht="15" hidden="false" customHeight="true" outlineLevel="0" collapsed="false">
      <c r="A18" s="5" t="s">
        <v>475</v>
      </c>
      <c r="C18" s="27" t="n">
        <f aca="false">IFERROR(C14/C15,"")</f>
        <v>0.159309860532631</v>
      </c>
    </row>
    <row r="19" customFormat="false" ht="15" hidden="false" customHeight="true" outlineLevel="0" collapsed="false">
      <c r="A19" s="5" t="s">
        <v>476</v>
      </c>
      <c r="C19" s="27" t="n">
        <f aca="false">IFERROR('UTCL-Assumptions'!$B$35/C18,"")</f>
        <v>0.43901865061061</v>
      </c>
    </row>
    <row r="21" customFormat="false" ht="60" hidden="false" customHeight="true" outlineLevel="0" collapsed="false">
      <c r="A21" s="16" t="s">
        <v>477</v>
      </c>
      <c r="B21" s="16"/>
      <c r="C21" s="16"/>
      <c r="D21" s="16"/>
      <c r="E21" s="16"/>
      <c r="F21" s="16"/>
      <c r="G21" s="16"/>
    </row>
    <row r="23" customFormat="false" ht="15" hidden="false" customHeight="true" outlineLevel="0" collapsed="false">
      <c r="A23" s="8" t="s">
        <v>478</v>
      </c>
      <c r="B23" s="8"/>
      <c r="C23" s="8"/>
      <c r="D23" s="8"/>
      <c r="E23" s="8"/>
      <c r="F23" s="8"/>
    </row>
    <row r="24" customFormat="false" ht="15" hidden="false" customHeight="true" outlineLevel="0" collapsed="false">
      <c r="A24" s="6" t="s">
        <v>479</v>
      </c>
      <c r="C24" s="64" t="n">
        <f aca="false">C14/C15</f>
        <v>0.159309860532631</v>
      </c>
    </row>
    <row r="25" customFormat="false" ht="15" hidden="false" customHeight="true" outlineLevel="0" collapsed="false">
      <c r="A25" s="6" t="s">
        <v>480</v>
      </c>
      <c r="C25" s="60" t="n">
        <f aca="false">'UTCL-Assumptions'!$B$66</f>
        <v>0.118311823425954</v>
      </c>
    </row>
    <row r="26" customFormat="false" ht="15" hidden="false" customHeight="true" outlineLevel="0" collapsed="false">
      <c r="A26" s="6" t="s">
        <v>481</v>
      </c>
      <c r="C26" s="65" t="n">
        <f aca="false">'UTCL-Assumptions'!$B$35/'UTCL-Assumptions'!$B$66</f>
        <v>0.591149709088646</v>
      </c>
    </row>
    <row r="27" customFormat="false" ht="15" hidden="false" customHeight="true" outlineLevel="0" collapsed="false">
      <c r="A27" s="6" t="s">
        <v>482</v>
      </c>
      <c r="C27" s="66" t="n">
        <f aca="false">'UTCL-Assumptions'!$B$65</f>
        <v>0</v>
      </c>
    </row>
    <row r="29" customFormat="false" ht="15" hidden="false" customHeight="true" outlineLevel="0" collapsed="false">
      <c r="A29" s="8" t="s">
        <v>483</v>
      </c>
      <c r="B29" s="8"/>
      <c r="C29" s="8"/>
      <c r="D29" s="8"/>
      <c r="E29" s="8"/>
      <c r="F29" s="8"/>
    </row>
    <row r="30" customFormat="false" ht="15" hidden="false" customHeight="true" outlineLevel="0" collapsed="false">
      <c r="A30" s="6" t="s">
        <v>479</v>
      </c>
      <c r="C30" s="40" t="n">
        <f aca="false">C14/C15</f>
        <v>0.159309860532631</v>
      </c>
    </row>
    <row r="31" customFormat="false" ht="15" hidden="false" customHeight="true" outlineLevel="0" collapsed="false">
      <c r="A31" s="6" t="s">
        <v>484</v>
      </c>
      <c r="C31" s="67" t="n">
        <f aca="false">'UTCL-Assumptions'!$B$66</f>
        <v>0.118311823425954</v>
      </c>
    </row>
    <row r="32" customFormat="false" ht="15" hidden="false" customHeight="true" outlineLevel="0" collapsed="false">
      <c r="A32" s="6" t="s">
        <v>485</v>
      </c>
      <c r="C32" s="67" t="n">
        <f aca="false">C14/'UTCL-Assumptions'!$B$66</f>
        <v>151461.216133046</v>
      </c>
    </row>
    <row r="33" customFormat="false" ht="15" hidden="false" customHeight="true" outlineLevel="0" collapsed="false">
      <c r="A33" s="6" t="s">
        <v>486</v>
      </c>
      <c r="C33" s="68" t="n">
        <f aca="false">C15</f>
        <v>112483.010148282</v>
      </c>
    </row>
    <row r="34" customFormat="false" ht="15" hidden="false" customHeight="true" outlineLevel="0" collapsed="false">
      <c r="A34" s="6" t="s">
        <v>487</v>
      </c>
      <c r="C34" s="69" t="n">
        <f aca="false">C33-C32</f>
        <v>-38978.2059847646</v>
      </c>
    </row>
    <row r="35" customFormat="false" ht="15" hidden="false" customHeight="true" outlineLevel="0" collapsed="false">
      <c r="A35" s="6" t="s">
        <v>488</v>
      </c>
      <c r="C35" s="69" t="n">
        <f aca="false">'UTCL-Assumptions'!$B$35*C32</f>
        <v>10593.1974563452</v>
      </c>
    </row>
    <row r="36" customFormat="false" ht="15" hidden="false" customHeight="true" outlineLevel="0" collapsed="false">
      <c r="A36" s="6" t="s">
        <v>489</v>
      </c>
      <c r="C36" s="69" t="n">
        <f aca="false">C14-C35</f>
        <v>7326.45520266798</v>
      </c>
    </row>
    <row r="38" customFormat="false" ht="75" hidden="false" customHeight="true" outlineLevel="0" collapsed="false">
      <c r="A38" s="33" t="s">
        <v>490</v>
      </c>
      <c r="B38" s="33"/>
      <c r="C38" s="33"/>
      <c r="D38" s="33"/>
      <c r="E38" s="33"/>
      <c r="F38" s="33"/>
    </row>
  </sheetData>
  <mergeCells count="5">
    <mergeCell ref="A13:G13"/>
    <mergeCell ref="A21:G21"/>
    <mergeCell ref="A23:F23"/>
    <mergeCell ref="A29:F29"/>
    <mergeCell ref="A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7" min="3" style="1" width="13"/>
  </cols>
  <sheetData>
    <row r="1" customFormat="false" ht="15.75" hidden="false" customHeight="true" outlineLevel="0" collapsed="false">
      <c r="A1" s="29" t="s">
        <v>491</v>
      </c>
    </row>
    <row r="3" customFormat="false" ht="15" hidden="false" customHeight="true" outlineLevel="0" collapsed="false">
      <c r="A3" s="26" t="s">
        <v>492</v>
      </c>
      <c r="B3" s="26"/>
      <c r="C3" s="26"/>
      <c r="D3" s="26"/>
      <c r="E3" s="26"/>
      <c r="F3" s="26"/>
      <c r="G3" s="26"/>
    </row>
    <row r="4" customFormat="false" ht="15" hidden="false" customHeight="true" outlineLevel="0" collapsed="false">
      <c r="A4" s="4" t="s">
        <v>235</v>
      </c>
      <c r="B4" s="4" t="s">
        <v>186</v>
      </c>
      <c r="C4" s="4" t="s">
        <v>493</v>
      </c>
      <c r="D4" s="4" t="s">
        <v>494</v>
      </c>
      <c r="E4" s="4" t="s">
        <v>495</v>
      </c>
      <c r="F4" s="4" t="s">
        <v>496</v>
      </c>
      <c r="G4" s="4" t="s">
        <v>497</v>
      </c>
    </row>
    <row r="5" customFormat="false" ht="15" hidden="false" customHeight="true" outlineLevel="0" collapsed="false">
      <c r="A5" s="5" t="s">
        <v>498</v>
      </c>
      <c r="B5" s="3" t="s">
        <v>200</v>
      </c>
      <c r="C5" s="34" t="n">
        <f aca="false">'UTCL-Source Data'!H14</f>
        <v>52604</v>
      </c>
      <c r="D5" s="34" t="n">
        <f aca="false">'UTCL-Source Data'!I14</f>
        <v>63077</v>
      </c>
      <c r="E5" s="34" t="n">
        <f aca="false">'UTCL-Source Data'!J14</f>
        <v>69368</v>
      </c>
      <c r="F5" s="34" t="n">
        <f aca="false">'UTCL-Source Data'!K14</f>
        <v>83764</v>
      </c>
      <c r="G5" s="34" t="n">
        <f aca="false">'UTCL-Source Data'!L14</f>
        <v>89161</v>
      </c>
    </row>
    <row r="6" customFormat="false" ht="15" hidden="false" customHeight="true" outlineLevel="0" collapsed="false">
      <c r="A6" s="5" t="s">
        <v>499</v>
      </c>
      <c r="B6" s="3" t="s">
        <v>200</v>
      </c>
      <c r="C6" s="34" t="n">
        <f aca="false">-'UTCL-Source Data'!G14</f>
        <v>-49144</v>
      </c>
      <c r="D6" s="34" t="n">
        <f aca="false">-'UTCL-Source Data'!H14</f>
        <v>-52604</v>
      </c>
      <c r="E6" s="34" t="n">
        <f aca="false">-'UTCL-Source Data'!I14</f>
        <v>-63077</v>
      </c>
      <c r="F6" s="34" t="n">
        <f aca="false">-'UTCL-Source Data'!J14</f>
        <v>-69368</v>
      </c>
      <c r="G6" s="34" t="n">
        <f aca="false">-'UTCL-Source Data'!K14</f>
        <v>-83764</v>
      </c>
    </row>
    <row r="7" customFormat="false" ht="15" hidden="false" customHeight="true" outlineLevel="0" collapsed="false">
      <c r="A7" s="5" t="s">
        <v>500</v>
      </c>
      <c r="B7" s="3" t="s">
        <v>200</v>
      </c>
      <c r="C7" s="34" t="n">
        <f aca="false">'UTCL-Source Data'!H7</f>
        <v>2457</v>
      </c>
      <c r="D7" s="34" t="n">
        <f aca="false">'UTCL-Source Data'!I7</f>
        <v>2773</v>
      </c>
      <c r="E7" s="34" t="n">
        <f aca="false">'UTCL-Source Data'!J7</f>
        <v>3027</v>
      </c>
      <c r="F7" s="34" t="n">
        <f aca="false">'UTCL-Source Data'!K7</f>
        <v>3739</v>
      </c>
      <c r="G7" s="34" t="n">
        <f aca="false">'UTCL-Source Data'!L7</f>
        <v>4055</v>
      </c>
    </row>
    <row r="8" customFormat="false" ht="15" hidden="false" customHeight="true" outlineLevel="0" collapsed="false">
      <c r="A8" s="6" t="s">
        <v>501</v>
      </c>
      <c r="B8" s="3" t="s">
        <v>200</v>
      </c>
      <c r="C8" s="35" t="n">
        <f aca="false">SUM(C5:C7)</f>
        <v>5917</v>
      </c>
      <c r="D8" s="35" t="n">
        <f aca="false">SUM(D5:D7)</f>
        <v>13246</v>
      </c>
      <c r="E8" s="35" t="n">
        <f aca="false">SUM(E5:E7)</f>
        <v>9318</v>
      </c>
      <c r="F8" s="35" t="n">
        <f aca="false">SUM(F5:F7)</f>
        <v>18135</v>
      </c>
      <c r="G8" s="35" t="n">
        <f aca="false">SUM(G5:G7)</f>
        <v>9452</v>
      </c>
    </row>
    <row r="10" customFormat="false" ht="45" hidden="false" customHeight="true" outlineLevel="0" collapsed="false">
      <c r="A10" s="33" t="s">
        <v>502</v>
      </c>
      <c r="B10" s="33"/>
      <c r="C10" s="33"/>
      <c r="D10" s="33"/>
      <c r="E10" s="33"/>
      <c r="F10" s="33"/>
      <c r="G10" s="33"/>
    </row>
    <row r="14" customFormat="false" ht="15" hidden="false" customHeight="true" outlineLevel="0" collapsed="false">
      <c r="A14" s="26" t="s">
        <v>503</v>
      </c>
      <c r="B14" s="26"/>
      <c r="C14" s="26"/>
      <c r="D14" s="26"/>
      <c r="E14" s="26"/>
      <c r="F14" s="26"/>
      <c r="G14" s="26"/>
    </row>
    <row r="15" customFormat="false" ht="15" hidden="false" customHeight="true" outlineLevel="0" collapsed="false">
      <c r="A15" s="4" t="s">
        <v>235</v>
      </c>
      <c r="B15" s="4" t="s">
        <v>186</v>
      </c>
      <c r="C15" s="4" t="s">
        <v>368</v>
      </c>
      <c r="D15" s="4" t="s">
        <v>369</v>
      </c>
      <c r="E15" s="4" t="s">
        <v>370</v>
      </c>
      <c r="F15" s="4" t="s">
        <v>371</v>
      </c>
      <c r="G15" s="4" t="s">
        <v>372</v>
      </c>
    </row>
    <row r="16" customFormat="false" ht="15" hidden="false" customHeight="true" outlineLevel="0" collapsed="false">
      <c r="A16" s="5" t="s">
        <v>202</v>
      </c>
      <c r="B16" s="3" t="s">
        <v>200</v>
      </c>
      <c r="C16" s="34" t="n">
        <f aca="false">'UTCL-P&amp;L'!C15</f>
        <v>19749.0752256</v>
      </c>
      <c r="D16" s="34" t="n">
        <f aca="false">'UTCL-P&amp;L'!D15</f>
        <v>22233.843713268</v>
      </c>
      <c r="E16" s="34" t="n">
        <f aca="false">'UTCL-P&amp;L'!E15</f>
        <v>24514.174238094</v>
      </c>
      <c r="F16" s="34" t="n">
        <f aca="false">'UTCL-P&amp;L'!F15</f>
        <v>26489.3748050498</v>
      </c>
      <c r="G16" s="34" t="n">
        <f aca="false">'UTCL-P&amp;L'!G15</f>
        <v>28174.5434187893</v>
      </c>
    </row>
    <row r="17" customFormat="false" ht="15" hidden="false" customHeight="true" outlineLevel="0" collapsed="false">
      <c r="A17" s="5" t="s">
        <v>504</v>
      </c>
      <c r="B17" s="3" t="s">
        <v>200</v>
      </c>
      <c r="C17" s="34" t="n">
        <f aca="false">-'UTCL-P&amp;L'!C17</f>
        <v>-5031.25151177</v>
      </c>
      <c r="D17" s="34" t="n">
        <f aca="false">-'UTCL-P&amp;L'!D17</f>
        <v>-5256.9277791741</v>
      </c>
      <c r="E17" s="34" t="n">
        <f aca="false">-'UTCL-P&amp;L'!E17</f>
        <v>-5471.20716939803</v>
      </c>
      <c r="F17" s="34" t="n">
        <f aca="false">-'UTCL-P&amp;L'!F17</f>
        <v>-5649.41473613626</v>
      </c>
      <c r="G17" s="34" t="n">
        <f aca="false">-'UTCL-P&amp;L'!G17</f>
        <v>-5793.37214254665</v>
      </c>
    </row>
    <row r="18" customFormat="false" ht="15" hidden="false" customHeight="true" outlineLevel="0" collapsed="false">
      <c r="A18" s="6" t="s">
        <v>205</v>
      </c>
      <c r="B18" s="3" t="s">
        <v>200</v>
      </c>
      <c r="C18" s="38" t="n">
        <f aca="false">'UTCL-P&amp;L'!C20</f>
        <v>14717.82371383</v>
      </c>
      <c r="D18" s="38" t="n">
        <f aca="false">'UTCL-P&amp;L'!D20</f>
        <v>16976.9159340939</v>
      </c>
      <c r="E18" s="38" t="n">
        <f aca="false">'UTCL-P&amp;L'!E20</f>
        <v>19042.967068696</v>
      </c>
      <c r="F18" s="38" t="n">
        <f aca="false">'UTCL-P&amp;L'!F20</f>
        <v>20839.9600689135</v>
      </c>
      <c r="G18" s="38" t="n">
        <f aca="false">'UTCL-P&amp;L'!G20</f>
        <v>22381.1712762427</v>
      </c>
    </row>
    <row r="19" customFormat="false" ht="15" hidden="false" customHeight="true" outlineLevel="0" collapsed="false">
      <c r="A19" s="6" t="s">
        <v>505</v>
      </c>
      <c r="B19" s="3" t="s">
        <v>200</v>
      </c>
      <c r="C19" s="38" t="n">
        <f aca="false">'UTCL-P&amp;L'!C21</f>
        <v>11013.6418415333</v>
      </c>
      <c r="D19" s="38" t="n">
        <f aca="false">'UTCL-P&amp;L'!D21</f>
        <v>12704.1657318011</v>
      </c>
      <c r="E19" s="38" t="n">
        <f aca="false">'UTCL-P&amp;L'!E21</f>
        <v>14250.2331168466</v>
      </c>
      <c r="F19" s="38" t="n">
        <f aca="false">'UTCL-P&amp;L'!F21</f>
        <v>15594.9589187694</v>
      </c>
      <c r="G19" s="38" t="n">
        <f aca="false">'UTCL-P&amp;L'!G21</f>
        <v>16748.2780894379</v>
      </c>
    </row>
    <row r="20" customFormat="false" ht="15" hidden="false" customHeight="true" outlineLevel="0" collapsed="false">
      <c r="A20" s="5" t="s">
        <v>506</v>
      </c>
      <c r="B20" s="3" t="s">
        <v>200</v>
      </c>
      <c r="C20" s="34" t="n">
        <f aca="false">'UTCL-P&amp;L'!C17</f>
        <v>5031.25151177</v>
      </c>
      <c r="D20" s="34" t="n">
        <f aca="false">'UTCL-P&amp;L'!D17</f>
        <v>5256.9277791741</v>
      </c>
      <c r="E20" s="34" t="n">
        <f aca="false">'UTCL-P&amp;L'!E17</f>
        <v>5471.20716939803</v>
      </c>
      <c r="F20" s="34" t="n">
        <f aca="false">'UTCL-P&amp;L'!F17</f>
        <v>5649.41473613626</v>
      </c>
      <c r="G20" s="34" t="n">
        <f aca="false">'UTCL-P&amp;L'!G17</f>
        <v>5793.37214254665</v>
      </c>
    </row>
    <row r="21" customFormat="false" ht="15" hidden="false" customHeight="true" outlineLevel="0" collapsed="false">
      <c r="A21" s="5" t="s">
        <v>507</v>
      </c>
      <c r="B21" s="3" t="s">
        <v>200</v>
      </c>
      <c r="C21" s="34" t="n">
        <f aca="false">-'UTCL-P&amp;L'!C18</f>
        <v>-9500</v>
      </c>
      <c r="D21" s="34" t="n">
        <f aca="false">-'UTCL-P&amp;L'!D18</f>
        <v>-9500</v>
      </c>
      <c r="E21" s="34" t="n">
        <f aca="false">-'UTCL-P&amp;L'!E18</f>
        <v>-9000</v>
      </c>
      <c r="F21" s="34" t="n">
        <f aca="false">-'UTCL-P&amp;L'!F18</f>
        <v>-8500</v>
      </c>
      <c r="G21" s="34" t="n">
        <f aca="false">-'UTCL-P&amp;L'!G18</f>
        <v>-8500</v>
      </c>
    </row>
    <row r="22" customFormat="false" ht="15" hidden="false" customHeight="true" outlineLevel="0" collapsed="false">
      <c r="A22" s="5" t="s">
        <v>508</v>
      </c>
      <c r="B22" s="3" t="s">
        <v>200</v>
      </c>
      <c r="C22" s="34" t="n">
        <f aca="false">-'UTCL-P&amp;L'!C23</f>
        <v>-2150.46336053888</v>
      </c>
      <c r="D22" s="34" t="n">
        <f aca="false">-'UTCL-P&amp;L'!D23</f>
        <v>358.770248768977</v>
      </c>
      <c r="E22" s="34" t="n">
        <f aca="false">-'UTCL-P&amp;L'!E23</f>
        <v>337.55502960016</v>
      </c>
      <c r="F22" s="34" t="n">
        <f aca="false">-'UTCL-P&amp;L'!F23</f>
        <v>289.803435527148</v>
      </c>
      <c r="G22" s="34" t="n">
        <f aca="false">-'UTCL-P&amp;L'!G23</f>
        <v>240.481159336048</v>
      </c>
    </row>
    <row r="23" customFormat="false" ht="15" hidden="false" customHeight="true" outlineLevel="0" collapsed="false">
      <c r="A23" s="6" t="s">
        <v>509</v>
      </c>
      <c r="B23" s="3" t="s">
        <v>200</v>
      </c>
      <c r="C23" s="35" t="n">
        <f aca="false">'UTCL-P&amp;L'!C24</f>
        <v>4394.42999276439</v>
      </c>
      <c r="D23" s="35" t="n">
        <f aca="false">'UTCL-P&amp;L'!D24</f>
        <v>8819.86375974422</v>
      </c>
      <c r="E23" s="35" t="n">
        <f aca="false">'UTCL-P&amp;L'!E24</f>
        <v>11058.9953158448</v>
      </c>
      <c r="F23" s="35" t="n">
        <f aca="false">'UTCL-P&amp;L'!F24</f>
        <v>13034.1770904328</v>
      </c>
      <c r="G23" s="35" t="n">
        <f aca="false">'UTCL-P&amp;L'!G24</f>
        <v>14282.1313913206</v>
      </c>
    </row>
  </sheetData>
  <mergeCells count="3">
    <mergeCell ref="A3:G3"/>
    <mergeCell ref="A10:G10"/>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6"/>
    <col collapsed="false" customWidth="true" hidden="false" outlineLevel="0" max="3" min="3" style="1" width="60"/>
  </cols>
  <sheetData>
    <row r="1" customFormat="false" ht="15.75" hidden="false" customHeight="true" outlineLevel="0" collapsed="false">
      <c r="A1" s="29" t="s">
        <v>510</v>
      </c>
    </row>
    <row r="3" customFormat="false" ht="15" hidden="false" customHeight="true" outlineLevel="0" collapsed="false">
      <c r="A3" s="5" t="s">
        <v>350</v>
      </c>
      <c r="B3" s="70" t="n">
        <f aca="false">'UTCL-Assumptions'!$B$10</f>
        <v>0.0685</v>
      </c>
      <c r="C3" s="31" t="s">
        <v>511</v>
      </c>
    </row>
    <row r="4" customFormat="false" ht="15" hidden="false" customHeight="true" outlineLevel="0" collapsed="false">
      <c r="A4" s="5" t="s">
        <v>512</v>
      </c>
      <c r="B4" s="70" t="n">
        <f aca="false">-'UTCL-Assumptions'!$B$11</f>
        <v>-0.0187</v>
      </c>
      <c r="C4" s="31" t="s">
        <v>513</v>
      </c>
    </row>
    <row r="5" customFormat="false" ht="15" hidden="false" customHeight="true" outlineLevel="0" collapsed="false">
      <c r="A5" s="6" t="s">
        <v>514</v>
      </c>
      <c r="B5" s="71" t="n">
        <f aca="false">'UTCL-Assumptions'!$B$12</f>
        <v>0.0498</v>
      </c>
    </row>
    <row r="6" customFormat="false" ht="30" hidden="false" customHeight="true" outlineLevel="0" collapsed="false">
      <c r="A6" s="5" t="s">
        <v>356</v>
      </c>
      <c r="B6" s="70" t="n">
        <f aca="false">'UTCL-Assumptions'!$B$13</f>
        <v>0.0708</v>
      </c>
      <c r="C6" s="31" t="s">
        <v>515</v>
      </c>
    </row>
    <row r="7" customFormat="false" ht="30" hidden="false" customHeight="true" outlineLevel="0" collapsed="false">
      <c r="A7" s="5" t="s">
        <v>516</v>
      </c>
      <c r="B7" s="72" t="n">
        <f aca="false">'UTCL-Assumptions'!$B$14</f>
        <v>0.9</v>
      </c>
      <c r="C7" s="31" t="s">
        <v>517</v>
      </c>
    </row>
    <row r="8" customFormat="false" ht="15" hidden="false" customHeight="true" outlineLevel="0" collapsed="false">
      <c r="A8" s="5" t="s">
        <v>518</v>
      </c>
      <c r="B8" s="73" t="n">
        <f aca="false">'UTCL-Assumptions'!$B$16</f>
        <v>0.943561877328</v>
      </c>
      <c r="C8" s="31" t="s">
        <v>519</v>
      </c>
    </row>
    <row r="9" customFormat="false" ht="15" hidden="false" customHeight="true" outlineLevel="0" collapsed="false">
      <c r="A9" s="5" t="s">
        <v>520</v>
      </c>
      <c r="B9" s="70" t="n">
        <f aca="false">B5+B8*B6</f>
        <v>0.116604180914822</v>
      </c>
      <c r="C9" s="31" t="s">
        <v>521</v>
      </c>
    </row>
    <row r="10" customFormat="false" ht="60" hidden="false" customHeight="true" outlineLevel="0" collapsed="false">
      <c r="A10" s="5" t="s">
        <v>522</v>
      </c>
      <c r="B10" s="47"/>
      <c r="C10" s="31" t="s">
        <v>523</v>
      </c>
    </row>
    <row r="11" customFormat="false" ht="15" hidden="false" customHeight="true" outlineLevel="0" collapsed="false">
      <c r="A11" s="6" t="s">
        <v>524</v>
      </c>
      <c r="B11" s="71" t="n">
        <f aca="false">IF(B10="",B9,B10)</f>
        <v>0.116604180914822</v>
      </c>
      <c r="C11" s="31" t="s">
        <v>525</v>
      </c>
    </row>
    <row r="12" customFormat="false" ht="15" hidden="false" customHeight="true" outlineLevel="0" collapsed="false">
      <c r="A12" s="5" t="s">
        <v>526</v>
      </c>
      <c r="B12" s="70" t="n">
        <f aca="false">'UTCL-Assumptions'!$B$17</f>
        <v>0.0834</v>
      </c>
    </row>
    <row r="13" customFormat="false" ht="15" hidden="false" customHeight="true" outlineLevel="0" collapsed="false">
      <c r="A13" s="5" t="s">
        <v>341</v>
      </c>
      <c r="B13" s="70" t="n">
        <f aca="false">'UTCL-Assumptions'!$B$4</f>
        <v>0.25168</v>
      </c>
    </row>
    <row r="14" customFormat="false" ht="15" hidden="false" customHeight="true" outlineLevel="0" collapsed="false">
      <c r="A14" s="5" t="s">
        <v>527</v>
      </c>
      <c r="B14" s="70" t="n">
        <f aca="false">'UTCL-Assumptions'!$B$36</f>
        <v>0.060751</v>
      </c>
    </row>
    <row r="15" customFormat="false" ht="15" hidden="false" customHeight="true" outlineLevel="0" collapsed="false">
      <c r="A15" s="5" t="s">
        <v>528</v>
      </c>
      <c r="B15" s="70" t="n">
        <f aca="false">1-B14</f>
        <v>0.939249</v>
      </c>
    </row>
    <row r="16" customFormat="false" ht="30" hidden="false" customHeight="true" outlineLevel="0" collapsed="false">
      <c r="A16" s="6" t="s">
        <v>529</v>
      </c>
      <c r="B16" s="71" t="n">
        <f aca="false">B15*B11+B14*B12*(1-B13)</f>
        <v>0.113311823425954</v>
      </c>
      <c r="C16" s="31" t="s">
        <v>530</v>
      </c>
    </row>
    <row r="17" customFormat="false" ht="30" hidden="false" customHeight="true" outlineLevel="0" collapsed="false">
      <c r="A17" s="6" t="s">
        <v>531</v>
      </c>
      <c r="B17" s="71" t="n">
        <f aca="false">B15*B11+B14*B12</f>
        <v>0.114586993720066</v>
      </c>
      <c r="C17" s="31" t="s">
        <v>532</v>
      </c>
    </row>
    <row r="18" customFormat="false" ht="15" hidden="false" customHeight="true" outlineLevel="0" collapsed="false">
      <c r="A18" s="5" t="s">
        <v>533</v>
      </c>
      <c r="B18" s="70" t="n">
        <f aca="false">B16+B12*B13*B14</f>
        <v>0.114586993720066</v>
      </c>
      <c r="C18" s="31" t="s">
        <v>534</v>
      </c>
    </row>
    <row r="20" customFormat="false" ht="15" hidden="false" customHeight="true" outlineLevel="0" collapsed="false">
      <c r="A20" s="8" t="s">
        <v>535</v>
      </c>
      <c r="B20" s="8"/>
      <c r="C20" s="8"/>
    </row>
    <row r="21" customFormat="false" ht="45" hidden="false" customHeight="true" outlineLevel="0" collapsed="false">
      <c r="A21" s="6" t="s">
        <v>536</v>
      </c>
      <c r="B21" s="74" t="s">
        <v>347</v>
      </c>
      <c r="C21" s="31" t="s">
        <v>537</v>
      </c>
    </row>
    <row r="22" customFormat="false" ht="15" hidden="false" customHeight="true" outlineLevel="0" collapsed="false">
      <c r="A22" s="6" t="s">
        <v>538</v>
      </c>
      <c r="B22" s="47" t="n">
        <v>0.064681</v>
      </c>
      <c r="C22" s="31" t="s">
        <v>539</v>
      </c>
    </row>
    <row r="23" customFormat="false" ht="30" hidden="false" customHeight="true" outlineLevel="0" collapsed="false">
      <c r="A23" s="6" t="s">
        <v>540</v>
      </c>
      <c r="B23" s="47" t="n">
        <v>0.1478</v>
      </c>
      <c r="C23" s="31" t="s">
        <v>541</v>
      </c>
    </row>
    <row r="24" customFormat="false" ht="15" hidden="false" customHeight="true" outlineLevel="0" collapsed="false">
      <c r="A24" s="6" t="s">
        <v>542</v>
      </c>
      <c r="B24" s="75" t="n">
        <v>0.9996</v>
      </c>
      <c r="C24" s="31" t="s">
        <v>543</v>
      </c>
    </row>
    <row r="25" customFormat="false" ht="15" hidden="false" customHeight="true" outlineLevel="0" collapsed="false">
      <c r="A25" s="6" t="s">
        <v>544</v>
      </c>
      <c r="B25" s="47" t="n">
        <v>0.11707</v>
      </c>
      <c r="C25" s="31" t="s">
        <v>545</v>
      </c>
    </row>
    <row r="26" customFormat="false" ht="15" hidden="false" customHeight="true" outlineLevel="0" collapsed="false">
      <c r="A26" s="6" t="s">
        <v>546</v>
      </c>
      <c r="B26" s="47" t="n">
        <v>0.11003</v>
      </c>
      <c r="C26" s="31" t="s">
        <v>547</v>
      </c>
    </row>
    <row r="27" customFormat="false" ht="15" hidden="false" customHeight="true" outlineLevel="0" collapsed="false">
      <c r="A27" s="6" t="s">
        <v>548</v>
      </c>
      <c r="B27" s="49" t="n">
        <v>4701</v>
      </c>
      <c r="C27" s="31" t="s">
        <v>549</v>
      </c>
    </row>
    <row r="29" customFormat="false" ht="60" hidden="false" customHeight="true" outlineLevel="0" collapsed="false">
      <c r="A29" s="16" t="s">
        <v>550</v>
      </c>
      <c r="B29" s="16"/>
      <c r="C29" s="16"/>
    </row>
    <row r="33" customFormat="false" ht="45" hidden="false" customHeight="true" outlineLevel="0" collapsed="false">
      <c r="A33" s="16" t="s">
        <v>551</v>
      </c>
      <c r="B33" s="16"/>
      <c r="C33" s="16"/>
    </row>
  </sheetData>
  <mergeCells count="3">
    <mergeCell ref="A20:C20"/>
    <mergeCell ref="A29:C29"/>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
    <col collapsed="false" customWidth="true" hidden="false" outlineLevel="0" max="7" min="6" style="1" width="14"/>
    <col collapsed="false" customWidth="true" hidden="false" outlineLevel="0" max="8" min="8" style="1" width="52"/>
  </cols>
  <sheetData>
    <row r="1" customFormat="false" ht="15.75" hidden="false" customHeight="true" outlineLevel="0" collapsed="false">
      <c r="A1" s="29" t="s">
        <v>552</v>
      </c>
    </row>
    <row r="2" customFormat="false" ht="15" hidden="false" customHeight="true" outlineLevel="0" collapsed="false">
      <c r="A2" s="3" t="s">
        <v>553</v>
      </c>
    </row>
    <row r="4" customFormat="false" ht="15" hidden="false" customHeight="true" outlineLevel="0" collapsed="false">
      <c r="A4" s="8" t="s">
        <v>554</v>
      </c>
      <c r="B4" s="8"/>
      <c r="C4" s="8"/>
      <c r="D4" s="8"/>
      <c r="E4" s="8"/>
      <c r="F4" s="8"/>
      <c r="G4" s="8"/>
      <c r="H4" s="8"/>
    </row>
    <row r="5" customFormat="false" ht="15" hidden="false" customHeight="true" outlineLevel="0" collapsed="false">
      <c r="A5" s="17" t="s">
        <v>169</v>
      </c>
      <c r="B5" s="17" t="s">
        <v>555</v>
      </c>
      <c r="C5" s="17"/>
      <c r="D5" s="17"/>
      <c r="E5" s="17"/>
      <c r="F5" s="17"/>
      <c r="G5" s="17"/>
      <c r="H5" s="17" t="s">
        <v>556</v>
      </c>
    </row>
    <row r="6" customFormat="false" ht="60" hidden="false" customHeight="true" outlineLevel="0" collapsed="false">
      <c r="A6" s="6" t="s">
        <v>358</v>
      </c>
      <c r="B6" s="75" t="n">
        <v>0.9</v>
      </c>
      <c r="H6" s="19" t="s">
        <v>557</v>
      </c>
    </row>
    <row r="7" customFormat="false" ht="30" hidden="false" customHeight="true" outlineLevel="0" collapsed="false">
      <c r="A7" s="6" t="s">
        <v>360</v>
      </c>
      <c r="B7" s="61" t="n">
        <v>0.064681</v>
      </c>
      <c r="H7" s="19" t="s">
        <v>558</v>
      </c>
    </row>
    <row r="8" customFormat="false" ht="30" hidden="false" customHeight="true" outlineLevel="0" collapsed="false">
      <c r="A8" s="6" t="s">
        <v>559</v>
      </c>
      <c r="B8" s="61" t="n">
        <v>0.25168</v>
      </c>
      <c r="H8" s="19" t="s">
        <v>342</v>
      </c>
    </row>
    <row r="9" customFormat="false" ht="30" hidden="false" customHeight="true" outlineLevel="0" collapsed="false">
      <c r="A9" s="6" t="s">
        <v>560</v>
      </c>
      <c r="B9" s="76" t="n">
        <f aca="false">B6*(1+(1-B8)*B7)</f>
        <v>0.943561877328</v>
      </c>
      <c r="H9" s="19" t="s">
        <v>561</v>
      </c>
    </row>
    <row r="11" customFormat="false" ht="15" hidden="false" customHeight="true" outlineLevel="0" collapsed="false">
      <c r="A11" s="8" t="s">
        <v>562</v>
      </c>
      <c r="B11" s="8"/>
      <c r="C11" s="8"/>
      <c r="D11" s="8"/>
      <c r="E11" s="8"/>
      <c r="F11" s="8"/>
      <c r="G11" s="8"/>
      <c r="H11" s="8"/>
    </row>
    <row r="12" customFormat="false" ht="15" hidden="false" customHeight="true" outlineLevel="0" collapsed="false">
      <c r="A12" s="6" t="s">
        <v>563</v>
      </c>
      <c r="B12" s="76" t="n">
        <f aca="false">IFERROR(SLOPE(G25:G84,F25:F84),"paste prices below")</f>
        <v>1.08633489626588</v>
      </c>
    </row>
    <row r="13" customFormat="false" ht="15" hidden="false" customHeight="true" outlineLevel="0" collapsed="false">
      <c r="A13" s="6" t="s">
        <v>564</v>
      </c>
      <c r="B13" s="77" t="n">
        <f aca="false">IFERROR(RSQ(G25:G84,F25:F84),"")</f>
        <v>0.475792146337453</v>
      </c>
    </row>
    <row r="14" customFormat="false" ht="15" hidden="false" customHeight="true" outlineLevel="0" collapsed="false">
      <c r="A14" s="6" t="s">
        <v>565</v>
      </c>
      <c r="B14" s="66" t="n">
        <f aca="false">COUNT(F25:F84)</f>
        <v>60</v>
      </c>
    </row>
    <row r="15" customFormat="false" ht="15" hidden="false" customHeight="true" outlineLevel="0" collapsed="false">
      <c r="A15" s="6" t="s">
        <v>566</v>
      </c>
      <c r="B15" s="76" t="n">
        <f aca="false">IFERROR(0.67*B12+0.33,"")</f>
        <v>1.05784438049814</v>
      </c>
    </row>
    <row r="16" customFormat="false" ht="15" hidden="false" customHeight="true" outlineLevel="0" collapsed="false">
      <c r="A16" s="6" t="s">
        <v>567</v>
      </c>
      <c r="B16" s="78" t="n">
        <f aca="false">IFERROR(B12-B9,"")</f>
        <v>0.142773018937875</v>
      </c>
    </row>
    <row r="18" customFormat="false" ht="90" hidden="false" customHeight="true" outlineLevel="0" collapsed="false">
      <c r="A18" s="33" t="s">
        <v>568</v>
      </c>
      <c r="B18" s="33"/>
      <c r="C18" s="33"/>
      <c r="D18" s="33"/>
      <c r="E18" s="33"/>
      <c r="F18" s="33"/>
      <c r="G18" s="33"/>
      <c r="H18" s="33"/>
    </row>
    <row r="24" customFormat="false" ht="26.25" hidden="false" customHeight="true" outlineLevel="0" collapsed="false">
      <c r="A24" s="17"/>
      <c r="B24" s="17" t="s">
        <v>569</v>
      </c>
      <c r="C24" s="17" t="s">
        <v>570</v>
      </c>
      <c r="D24" s="17" t="s">
        <v>571</v>
      </c>
      <c r="E24" s="17"/>
      <c r="F24" s="17" t="s">
        <v>572</v>
      </c>
      <c r="G24" s="17" t="s">
        <v>573</v>
      </c>
      <c r="H24" s="17" t="s">
        <v>574</v>
      </c>
    </row>
    <row r="25" customFormat="false" ht="15" hidden="false" customHeight="true" outlineLevel="0" collapsed="false">
      <c r="B25" s="74" t="s">
        <v>575</v>
      </c>
      <c r="C25" s="49" t="n">
        <v>20528.05</v>
      </c>
      <c r="D25" s="49" t="n">
        <v>10745</v>
      </c>
      <c r="F25" s="43" t="n">
        <f aca="false">IFERROR(C25/C26-1,"")</f>
        <v>-0.113904134571597</v>
      </c>
      <c r="G25" s="43" t="n">
        <f aca="false">IFERROR(D25/D26-1,"")</f>
        <v>-0.152401987852015</v>
      </c>
    </row>
    <row r="26" customFormat="false" ht="15" hidden="false" customHeight="true" outlineLevel="0" collapsed="false">
      <c r="B26" s="74" t="s">
        <v>576</v>
      </c>
      <c r="C26" s="49" t="n">
        <v>23166.85</v>
      </c>
      <c r="D26" s="49" t="n">
        <v>12677</v>
      </c>
      <c r="F26" s="43" t="n">
        <f aca="false">IFERROR(C26/C27-1,"")</f>
        <v>0.00378474403691587</v>
      </c>
      <c r="G26" s="43" t="n">
        <f aca="false">IFERROR(D26/D27-1,"")</f>
        <v>-0.00133921537734361</v>
      </c>
    </row>
    <row r="27" customFormat="false" ht="15" hidden="false" customHeight="true" outlineLevel="0" collapsed="false">
      <c r="B27" s="74" t="s">
        <v>577</v>
      </c>
      <c r="C27" s="49" t="n">
        <v>23079.5</v>
      </c>
      <c r="D27" s="49" t="n">
        <v>12694</v>
      </c>
      <c r="F27" s="43" t="n">
        <f aca="false">IFERROR(C27/C28-1,"")</f>
        <v>-0.033179663658204</v>
      </c>
      <c r="G27" s="43" t="n">
        <f aca="false">IFERROR(D27/D28-1,"")</f>
        <v>0.0772233536999321</v>
      </c>
    </row>
    <row r="28" customFormat="false" ht="15" hidden="false" customHeight="true" outlineLevel="0" collapsed="false">
      <c r="B28" s="74" t="s">
        <v>578</v>
      </c>
      <c r="C28" s="49" t="n">
        <v>23871.55</v>
      </c>
      <c r="D28" s="49" t="n">
        <v>11784</v>
      </c>
      <c r="F28" s="43" t="n">
        <f aca="false">IFERROR(C28/C29-1,"")</f>
        <v>-0.00257591964300641</v>
      </c>
      <c r="G28" s="43" t="n">
        <f aca="false">IFERROR(D28/D29-1,"")</f>
        <v>0.0158620689655173</v>
      </c>
    </row>
    <row r="29" customFormat="false" ht="15" hidden="false" customHeight="true" outlineLevel="0" collapsed="false">
      <c r="B29" s="74" t="s">
        <v>579</v>
      </c>
      <c r="C29" s="49" t="n">
        <v>23933.2</v>
      </c>
      <c r="D29" s="49" t="n">
        <v>11600</v>
      </c>
      <c r="F29" s="43" t="n">
        <f aca="false">IFERROR(C29/C30-1,"")</f>
        <v>0.00939672042647954</v>
      </c>
      <c r="G29" s="43" t="n">
        <f aca="false">IFERROR(D29/D30-1,"")</f>
        <v>-0.0290449485226417</v>
      </c>
    </row>
    <row r="30" customFormat="false" ht="15" hidden="false" customHeight="true" outlineLevel="0" collapsed="false">
      <c r="B30" s="74" t="s">
        <v>580</v>
      </c>
      <c r="C30" s="49" t="n">
        <v>23710.4</v>
      </c>
      <c r="D30" s="49" t="n">
        <v>11947</v>
      </c>
      <c r="F30" s="43" t="n">
        <f aca="false">IFERROR(C30/C31-1,"")</f>
        <v>0.0429442995324205</v>
      </c>
      <c r="G30" s="43" t="n">
        <f aca="false">IFERROR(D30/D31-1,"")</f>
        <v>-0.0225004090983473</v>
      </c>
    </row>
    <row r="31" customFormat="false" ht="15" hidden="false" customHeight="true" outlineLevel="0" collapsed="false">
      <c r="B31" s="74" t="s">
        <v>581</v>
      </c>
      <c r="C31" s="49" t="n">
        <v>22734.1</v>
      </c>
      <c r="D31" s="49" t="n">
        <v>12222</v>
      </c>
      <c r="F31" s="43" t="n">
        <f aca="false">IFERROR(C31/C32-1,"")</f>
        <v>0.0120709880046921</v>
      </c>
      <c r="G31" s="43" t="n">
        <f aca="false">IFERROR(D31/D32-1,"")</f>
        <v>-0.0330696202531645</v>
      </c>
    </row>
    <row r="32" customFormat="false" ht="15" hidden="false" customHeight="true" outlineLevel="0" collapsed="false">
      <c r="B32" s="74" t="s">
        <v>582</v>
      </c>
      <c r="C32" s="49" t="n">
        <v>22462.95</v>
      </c>
      <c r="D32" s="49" t="n">
        <v>12640</v>
      </c>
      <c r="F32" s="43" t="n">
        <f aca="false">IFERROR(C32/C33-1,"")</f>
        <v>-0.0197251139539907</v>
      </c>
      <c r="G32" s="43" t="n">
        <f aca="false">IFERROR(D32/D33-1,"")</f>
        <v>0.0319209731406644</v>
      </c>
    </row>
    <row r="33" customFormat="false" ht="15" hidden="false" customHeight="true" outlineLevel="0" collapsed="false">
      <c r="B33" s="74" t="s">
        <v>583</v>
      </c>
      <c r="C33" s="49" t="n">
        <v>22914.95</v>
      </c>
      <c r="D33" s="49" t="n">
        <v>12249</v>
      </c>
      <c r="F33" s="43" t="n">
        <f aca="false">IFERROR(C33/C34-1,"")</f>
        <v>-0.0297346848906729</v>
      </c>
      <c r="G33" s="43" t="n">
        <f aca="false">IFERROR(D33/D34-1,"")</f>
        <v>0.01290002480774</v>
      </c>
    </row>
    <row r="34" customFormat="false" ht="15" hidden="false" customHeight="true" outlineLevel="0" collapsed="false">
      <c r="B34" s="74" t="s">
        <v>584</v>
      </c>
      <c r="C34" s="49" t="n">
        <v>23617.2</v>
      </c>
      <c r="D34" s="49" t="n">
        <v>12093</v>
      </c>
      <c r="F34" s="43" t="n">
        <f aca="false">IFERROR(C34/C35-1,"")</f>
        <v>0.0357535210804338</v>
      </c>
      <c r="G34" s="43" t="n">
        <f aca="false">IFERROR(D34/D35-1,"")</f>
        <v>0.0787689562890277</v>
      </c>
    </row>
    <row r="35" customFormat="false" ht="15" hidden="false" customHeight="true" outlineLevel="0" collapsed="false">
      <c r="B35" s="74" t="s">
        <v>585</v>
      </c>
      <c r="C35" s="49" t="n">
        <v>22801.95</v>
      </c>
      <c r="D35" s="49" t="n">
        <v>11210</v>
      </c>
      <c r="F35" s="43" t="n">
        <f aca="false">IFERROR(C35/C36-1,"")</f>
        <v>0.0350385042249111</v>
      </c>
      <c r="G35" s="43" t="n">
        <f aca="false">IFERROR(D35/D36-1,"")</f>
        <v>-0.0370243106262349</v>
      </c>
    </row>
    <row r="36" customFormat="false" ht="15" hidden="false" customHeight="true" outlineLevel="0" collapsed="false">
      <c r="B36" s="74" t="s">
        <v>586</v>
      </c>
      <c r="C36" s="49" t="n">
        <v>22030.05</v>
      </c>
      <c r="D36" s="49" t="n">
        <v>11641</v>
      </c>
      <c r="F36" s="43" t="n">
        <f aca="false">IFERROR(C36/C37-1,"")</f>
        <v>0.0323577582470109</v>
      </c>
      <c r="G36" s="43" t="n">
        <f aca="false">IFERROR(D36/D37-1,"")</f>
        <v>0.0114209504281229</v>
      </c>
    </row>
    <row r="37" customFormat="false" ht="15" hidden="false" customHeight="true" outlineLevel="0" collapsed="false">
      <c r="B37" s="74" t="s">
        <v>587</v>
      </c>
      <c r="C37" s="49" t="n">
        <v>21339.55</v>
      </c>
      <c r="D37" s="49" t="n">
        <v>11509.55</v>
      </c>
      <c r="F37" s="43" t="n">
        <f aca="false">IFERROR(C37/C38-1,"")</f>
        <v>0.0733694148655242</v>
      </c>
      <c r="G37" s="43" t="n">
        <f aca="false">IFERROR(D37/D38-1,"")</f>
        <v>0.136358475383696</v>
      </c>
    </row>
    <row r="38" customFormat="false" ht="15" hidden="false" customHeight="true" outlineLevel="0" collapsed="false">
      <c r="B38" s="74" t="s">
        <v>588</v>
      </c>
      <c r="C38" s="49" t="n">
        <v>19880.9</v>
      </c>
      <c r="D38" s="49" t="n">
        <v>10128.45</v>
      </c>
      <c r="F38" s="43" t="n">
        <f aca="false">IFERROR(C38/C39-1,"")</f>
        <v>-0.078773359776469</v>
      </c>
      <c r="G38" s="43" t="n">
        <f aca="false">IFERROR(D38/D39-1,"")</f>
        <v>-0.118303017640991</v>
      </c>
    </row>
    <row r="39" customFormat="false" ht="15" hidden="false" customHeight="true" outlineLevel="0" collapsed="false">
      <c r="B39" s="74" t="s">
        <v>589</v>
      </c>
      <c r="C39" s="49" t="n">
        <v>21580.9</v>
      </c>
      <c r="D39" s="49" t="n">
        <v>11487.45</v>
      </c>
      <c r="F39" s="43" t="n">
        <f aca="false">IFERROR(C39/C40-1,"")</f>
        <v>-0.0355077451129365</v>
      </c>
      <c r="G39" s="43" t="n">
        <f aca="false">IFERROR(D39/D40-1,"")</f>
        <v>0.00534728937937312</v>
      </c>
    </row>
    <row r="40" customFormat="false" ht="15" hidden="false" customHeight="true" outlineLevel="0" collapsed="false">
      <c r="B40" s="74" t="s">
        <v>590</v>
      </c>
      <c r="C40" s="49" t="n">
        <v>22375.4</v>
      </c>
      <c r="D40" s="49" t="n">
        <v>11426.35</v>
      </c>
      <c r="F40" s="43" t="n">
        <f aca="false">IFERROR(C40/C41-1,"")</f>
        <v>-0.0137347379556574</v>
      </c>
      <c r="G40" s="43" t="n">
        <f aca="false">IFERROR(D40/D41-1,"")</f>
        <v>0.0200140151667314</v>
      </c>
    </row>
    <row r="41" customFormat="false" ht="15" hidden="false" customHeight="true" outlineLevel="0" collapsed="false">
      <c r="B41" s="74" t="s">
        <v>591</v>
      </c>
      <c r="C41" s="49" t="n">
        <v>22687</v>
      </c>
      <c r="D41" s="49" t="n">
        <v>11202.15</v>
      </c>
      <c r="F41" s="43" t="n">
        <f aca="false">IFERROR(C41/C42-1,"")</f>
        <v>-0.00010357282161011</v>
      </c>
      <c r="G41" s="43" t="n">
        <f aca="false">IFERROR(D41/D42-1,"")</f>
        <v>0.0123354705778693</v>
      </c>
    </row>
    <row r="42" customFormat="false" ht="15" hidden="false" customHeight="true" outlineLevel="0" collapsed="false">
      <c r="B42" s="74" t="s">
        <v>592</v>
      </c>
      <c r="C42" s="49" t="n">
        <v>22689.35</v>
      </c>
      <c r="D42" s="49" t="n">
        <v>11065.65</v>
      </c>
      <c r="F42" s="43" t="n">
        <f aca="false">IFERROR(C42/C43-1,"")</f>
        <v>-0.0641714648672728</v>
      </c>
      <c r="G42" s="43" t="n">
        <f aca="false">IFERROR(D42/D43-1,"")</f>
        <v>-0.0623919674631419</v>
      </c>
    </row>
    <row r="43" customFormat="false" ht="15" hidden="false" customHeight="true" outlineLevel="0" collapsed="false">
      <c r="B43" s="74" t="s">
        <v>593</v>
      </c>
      <c r="C43" s="49" t="n">
        <v>24245.2</v>
      </c>
      <c r="D43" s="49" t="n">
        <v>11802</v>
      </c>
      <c r="F43" s="43" t="n">
        <f aca="false">IFERROR(C43/C44-1,"")</f>
        <v>0.021515048736968</v>
      </c>
      <c r="G43" s="43" t="n">
        <f aca="false">IFERROR(D43/D44-1,"")</f>
        <v>0.0442491970376662</v>
      </c>
    </row>
    <row r="44" customFormat="false" ht="15" hidden="false" customHeight="true" outlineLevel="0" collapsed="false">
      <c r="B44" s="74" t="s">
        <v>594</v>
      </c>
      <c r="C44" s="49" t="n">
        <v>23734.55</v>
      </c>
      <c r="D44" s="49" t="n">
        <v>11301.9</v>
      </c>
      <c r="F44" s="43" t="n">
        <f aca="false">IFERROR(C44/C45-1,"")</f>
        <v>0.00865886412701644</v>
      </c>
      <c r="G44" s="43" t="n">
        <f aca="false">IFERROR(D44/D45-1,"")</f>
        <v>-0.0492378356551586</v>
      </c>
    </row>
    <row r="45" customFormat="false" ht="15" hidden="false" customHeight="true" outlineLevel="0" collapsed="false">
      <c r="B45" s="74" t="s">
        <v>595</v>
      </c>
      <c r="C45" s="49" t="n">
        <v>23530.8</v>
      </c>
      <c r="D45" s="49" t="n">
        <v>11887.2</v>
      </c>
      <c r="F45" s="43" t="n">
        <f aca="false">IFERROR(C45/C46-1,"")</f>
        <v>0.0430457851833135</v>
      </c>
      <c r="G45" s="43" t="n">
        <f aca="false">IFERROR(D45/D46-1,"")</f>
        <v>0.0187951559406578</v>
      </c>
    </row>
    <row r="46" customFormat="false" ht="15" hidden="false" customHeight="true" outlineLevel="0" collapsed="false">
      <c r="B46" s="74" t="s">
        <v>596</v>
      </c>
      <c r="C46" s="49" t="n">
        <v>22559.7</v>
      </c>
      <c r="D46" s="49" t="n">
        <v>11667.9</v>
      </c>
      <c r="F46" s="43" t="n">
        <f aca="false">IFERROR(C46/C47-1,"")</f>
        <v>0.0690129031952349</v>
      </c>
      <c r="G46" s="43" t="n">
        <f aca="false">IFERROR(D46/D47-1,"")</f>
        <v>0.176733397206394</v>
      </c>
    </row>
    <row r="47" customFormat="false" ht="15" hidden="false" customHeight="true" outlineLevel="0" collapsed="false">
      <c r="B47" s="74" t="s">
        <v>597</v>
      </c>
      <c r="C47" s="49" t="n">
        <v>21103.3</v>
      </c>
      <c r="D47" s="49" t="n">
        <v>9915.5</v>
      </c>
      <c r="F47" s="43" t="n">
        <f aca="false">IFERROR(C47/C48-1,"")</f>
        <v>0.00505305469300654</v>
      </c>
      <c r="G47" s="43" t="n">
        <f aca="false">IFERROR(D47/D48-1,"")</f>
        <v>-0.00565090730406093</v>
      </c>
    </row>
    <row r="48" customFormat="false" ht="15" hidden="false" customHeight="true" outlineLevel="0" collapsed="false">
      <c r="B48" s="74" t="s">
        <v>598</v>
      </c>
      <c r="C48" s="49" t="n">
        <v>20997.2</v>
      </c>
      <c r="D48" s="49" t="n">
        <v>9971.85</v>
      </c>
      <c r="F48" s="43" t="n">
        <f aca="false">IFERROR(C48/C49-1,"")</f>
        <v>0.0366351273626706</v>
      </c>
      <c r="G48" s="43" t="n">
        <f aca="false">IFERROR(D48/D49-1,"")</f>
        <v>0.0228430170835408</v>
      </c>
    </row>
    <row r="49" customFormat="false" ht="15" hidden="false" customHeight="true" outlineLevel="0" collapsed="false">
      <c r="B49" s="74" t="s">
        <v>599</v>
      </c>
      <c r="C49" s="49" t="n">
        <v>20255.15</v>
      </c>
      <c r="D49" s="49" t="n">
        <v>9749.15</v>
      </c>
      <c r="F49" s="43" t="n">
        <f aca="false">IFERROR(C49/C50-1,"")</f>
        <v>0.00821799846192528</v>
      </c>
      <c r="G49" s="43" t="n">
        <f aca="false">IFERROR(D49/D50-1,"")</f>
        <v>-0.0144808135538393</v>
      </c>
    </row>
    <row r="50" customFormat="false" ht="15" hidden="false" customHeight="true" outlineLevel="0" collapsed="false">
      <c r="B50" s="74" t="s">
        <v>600</v>
      </c>
      <c r="C50" s="49" t="n">
        <v>20090.05</v>
      </c>
      <c r="D50" s="49" t="n">
        <v>9892.4</v>
      </c>
      <c r="F50" s="43" t="n">
        <f aca="false">IFERROR(C50/C51-1,"")</f>
        <v>0.0145413870246085</v>
      </c>
      <c r="G50" s="43" t="n">
        <f aca="false">IFERROR(D50/D51-1,"")</f>
        <v>-0.027042444688144</v>
      </c>
    </row>
    <row r="51" customFormat="false" ht="15" hidden="false" customHeight="true" outlineLevel="0" collapsed="false">
      <c r="B51" s="74" t="s">
        <v>601</v>
      </c>
      <c r="C51" s="49" t="n">
        <v>19802.1</v>
      </c>
      <c r="D51" s="49" t="n">
        <v>10167.35</v>
      </c>
      <c r="F51" s="43" t="n">
        <f aca="false">IFERROR(C51/C52-1,"")</f>
        <v>0.0191953842551011</v>
      </c>
      <c r="G51" s="43" t="n">
        <f aca="false">IFERROR(D51/D52-1,"")</f>
        <v>-0.0319621443295042</v>
      </c>
    </row>
    <row r="52" customFormat="false" ht="15" hidden="false" customHeight="true" outlineLevel="0" collapsed="false">
      <c r="B52" s="74" t="s">
        <v>602</v>
      </c>
      <c r="C52" s="49" t="n">
        <v>19429.15</v>
      </c>
      <c r="D52" s="49" t="n">
        <v>10503.05</v>
      </c>
      <c r="F52" s="43" t="n">
        <f aca="false">IFERROR(C52/C53-1,"")</f>
        <v>0.0801203027582353</v>
      </c>
      <c r="G52" s="43" t="n">
        <f aca="false">IFERROR(D52/D53-1,"")</f>
        <v>0.166532461834922</v>
      </c>
    </row>
    <row r="53" customFormat="false" ht="15" hidden="false" customHeight="true" outlineLevel="0" collapsed="false">
      <c r="B53" s="74" t="s">
        <v>603</v>
      </c>
      <c r="C53" s="49" t="n">
        <v>17987.95</v>
      </c>
      <c r="D53" s="49" t="n">
        <v>9003.65</v>
      </c>
      <c r="F53" s="43" t="n">
        <f aca="false">IFERROR(C53/C54-1,"")</f>
        <v>0.070641208016142</v>
      </c>
      <c r="G53" s="43" t="n">
        <f aca="false">IFERROR(D53/D54-1,"")</f>
        <v>0.0690314345928937</v>
      </c>
    </row>
    <row r="54" customFormat="false" ht="15" hidden="false" customHeight="true" outlineLevel="0" collapsed="false">
      <c r="B54" s="74" t="s">
        <v>604</v>
      </c>
      <c r="C54" s="49" t="n">
        <v>16801.1</v>
      </c>
      <c r="D54" s="49" t="n">
        <v>8422.25</v>
      </c>
      <c r="F54" s="43" t="n">
        <f aca="false">IFERROR(C54/C55-1,"")</f>
        <v>-0.0284225622520615</v>
      </c>
      <c r="G54" s="43" t="n">
        <f aca="false">IFERROR(D54/D55-1,"")</f>
        <v>0.0202789875043157</v>
      </c>
    </row>
    <row r="55" customFormat="false" ht="15" hidden="false" customHeight="true" outlineLevel="0" collapsed="false">
      <c r="B55" s="74" t="s">
        <v>605</v>
      </c>
      <c r="C55" s="49" t="n">
        <v>17292.6</v>
      </c>
      <c r="D55" s="49" t="n">
        <v>8254.85</v>
      </c>
      <c r="F55" s="43" t="n">
        <f aca="false">IFERROR(C55/C56-1,"")</f>
        <v>0.021761609047346</v>
      </c>
      <c r="G55" s="43" t="n">
        <f aca="false">IFERROR(D55/D56-1,"")</f>
        <v>-0.00513410746675191</v>
      </c>
    </row>
    <row r="56" customFormat="false" ht="15" hidden="false" customHeight="true" outlineLevel="0" collapsed="false">
      <c r="B56" s="74" t="s">
        <v>606</v>
      </c>
      <c r="C56" s="49" t="n">
        <v>16924.3</v>
      </c>
      <c r="D56" s="49" t="n">
        <v>8297.45</v>
      </c>
      <c r="F56" s="43" t="n">
        <f aca="false">IFERROR(C56/C57-1,"")</f>
        <v>-0.00789612521249783</v>
      </c>
      <c r="G56" s="43" t="n">
        <f aca="false">IFERROR(D56/D57-1,"")</f>
        <v>-0.00248853410914673</v>
      </c>
    </row>
    <row r="57" customFormat="false" ht="15" hidden="false" customHeight="true" outlineLevel="0" collapsed="false">
      <c r="B57" s="74" t="s">
        <v>607</v>
      </c>
      <c r="C57" s="49" t="n">
        <v>17059</v>
      </c>
      <c r="D57" s="49" t="n">
        <v>8318.15</v>
      </c>
      <c r="F57" s="43" t="n">
        <f aca="false">IFERROR(C57/C58-1,"")</f>
        <v>0.0382836275106513</v>
      </c>
      <c r="G57" s="43" t="n">
        <f aca="false">IFERROR(D57/D58-1,"")</f>
        <v>0.00282106151481365</v>
      </c>
    </row>
    <row r="58" customFormat="false" ht="15" hidden="false" customHeight="true" outlineLevel="0" collapsed="false">
      <c r="B58" s="74" t="s">
        <v>608</v>
      </c>
      <c r="C58" s="49" t="n">
        <v>16430</v>
      </c>
      <c r="D58" s="49" t="n">
        <v>8294.75</v>
      </c>
      <c r="F58" s="43" t="n">
        <f aca="false">IFERROR(C58/C59-1,"")</f>
        <v>0.0420895067992693</v>
      </c>
      <c r="G58" s="43" t="n">
        <f aca="false">IFERROR(D58/D59-1,"")</f>
        <v>0.0539640790083926</v>
      </c>
    </row>
    <row r="59" customFormat="false" ht="15" hidden="false" customHeight="true" outlineLevel="0" collapsed="false">
      <c r="B59" s="74" t="s">
        <v>609</v>
      </c>
      <c r="C59" s="49" t="n">
        <v>15766.4</v>
      </c>
      <c r="D59" s="49" t="n">
        <v>7870.05</v>
      </c>
      <c r="F59" s="43" t="n">
        <f aca="false">IFERROR(C59/C60-1,"")</f>
        <v>0.0359307601078875</v>
      </c>
      <c r="G59" s="43" t="n">
        <f aca="false">IFERROR(D59/D60-1,"")</f>
        <v>0.0415354278605649</v>
      </c>
    </row>
    <row r="60" customFormat="false" ht="15" hidden="false" customHeight="true" outlineLevel="0" collapsed="false">
      <c r="B60" s="74" t="s">
        <v>610</v>
      </c>
      <c r="C60" s="49" t="n">
        <v>15219.55</v>
      </c>
      <c r="D60" s="49" t="n">
        <v>7556.2</v>
      </c>
      <c r="F60" s="43" t="n">
        <f aca="false">IFERROR(C60/C61-1,"")</f>
        <v>0.0454531404019136</v>
      </c>
      <c r="G60" s="43" t="n">
        <f aca="false">IFERROR(D60/D61-1,"")</f>
        <v>-0.00865241434503383</v>
      </c>
    </row>
    <row r="61" customFormat="false" ht="15" hidden="false" customHeight="true" outlineLevel="0" collapsed="false">
      <c r="B61" s="74" t="s">
        <v>611</v>
      </c>
      <c r="C61" s="49" t="n">
        <v>14557.85</v>
      </c>
      <c r="D61" s="49" t="n">
        <v>7622.15</v>
      </c>
      <c r="F61" s="43" t="n">
        <f aca="false">IFERROR(C61/C62-1,"")</f>
        <v>0.0026930693069307</v>
      </c>
      <c r="G61" s="43" t="n">
        <f aca="false">IFERROR(D61/D62-1,"")</f>
        <v>0.0496949582030766</v>
      </c>
    </row>
    <row r="62" customFormat="false" ht="15" hidden="false" customHeight="true" outlineLevel="0" collapsed="false">
      <c r="B62" s="74" t="s">
        <v>612</v>
      </c>
      <c r="C62" s="49" t="n">
        <v>14518.75</v>
      </c>
      <c r="D62" s="49" t="n">
        <v>7261.3</v>
      </c>
      <c r="F62" s="43" t="n">
        <f aca="false">IFERROR(C62/C63-1,"")</f>
        <v>-0.0279033175990091</v>
      </c>
      <c r="G62" s="43" t="n">
        <f aca="false">IFERROR(D62/D63-1,"")</f>
        <v>0.024804002512155</v>
      </c>
    </row>
    <row r="63" customFormat="false" ht="15" hidden="false" customHeight="true" outlineLevel="0" collapsed="false">
      <c r="B63" s="74" t="s">
        <v>613</v>
      </c>
      <c r="C63" s="49" t="n">
        <v>14935.5</v>
      </c>
      <c r="D63" s="49" t="n">
        <v>7085.55</v>
      </c>
      <c r="F63" s="43" t="n">
        <f aca="false">IFERROR(C63/C64-1,"")</f>
        <v>-0.0332290105736026</v>
      </c>
      <c r="G63" s="43" t="n">
        <f aca="false">IFERROR(D63/D64-1,"")</f>
        <v>0.0181777685172546</v>
      </c>
    </row>
    <row r="64" customFormat="false" ht="15" hidden="false" customHeight="true" outlineLevel="0" collapsed="false">
      <c r="B64" s="74" t="s">
        <v>614</v>
      </c>
      <c r="C64" s="49" t="n">
        <v>15448.85</v>
      </c>
      <c r="D64" s="49" t="n">
        <v>6959.05</v>
      </c>
      <c r="F64" s="43" t="n">
        <f aca="false">IFERROR(C64/C65-1,"")</f>
        <v>-0.0311862110917055</v>
      </c>
      <c r="G64" s="43" t="n">
        <f aca="false">IFERROR(D64/D65-1,"")</f>
        <v>-0.0166666666666666</v>
      </c>
    </row>
    <row r="65" customFormat="false" ht="15" hidden="false" customHeight="true" outlineLevel="0" collapsed="false">
      <c r="B65" s="74" t="s">
        <v>615</v>
      </c>
      <c r="C65" s="49" t="n">
        <v>15946.15</v>
      </c>
      <c r="D65" s="49" t="n">
        <v>7077</v>
      </c>
      <c r="F65" s="43" t="n">
        <f aca="false">IFERROR(C65/C66-1,"")</f>
        <v>0.0338530860995849</v>
      </c>
      <c r="G65" s="43" t="n">
        <f aca="false">IFERROR(D65/D66-1,"")</f>
        <v>0.0539170060834406</v>
      </c>
    </row>
    <row r="66" customFormat="false" ht="15" hidden="false" customHeight="true" outlineLevel="0" collapsed="false">
      <c r="B66" s="74" t="s">
        <v>616</v>
      </c>
      <c r="C66" s="49" t="n">
        <v>15424</v>
      </c>
      <c r="D66" s="49" t="n">
        <v>6714.95</v>
      </c>
      <c r="F66" s="43" t="n">
        <f aca="false">IFERROR(C66/C67-1,"")</f>
        <v>0.0400995323463267</v>
      </c>
      <c r="G66" s="43" t="n">
        <f aca="false">IFERROR(D66/D67-1,"")</f>
        <v>0.073516010935077</v>
      </c>
    </row>
    <row r="67" customFormat="false" ht="15" hidden="false" customHeight="true" outlineLevel="0" collapsed="false">
      <c r="B67" s="74" t="s">
        <v>617</v>
      </c>
      <c r="C67" s="49" t="n">
        <v>14829.35</v>
      </c>
      <c r="D67" s="49" t="n">
        <v>6255.1</v>
      </c>
      <c r="F67" s="43" t="n">
        <f aca="false">IFERROR(C67/C68-1,"")</f>
        <v>-0.0323457345979294</v>
      </c>
      <c r="G67" s="43" t="n">
        <f aca="false">IFERROR(D67/D68-1,"")</f>
        <v>-0.0633063036755842</v>
      </c>
    </row>
    <row r="68" customFormat="false" ht="15" hidden="false" customHeight="true" outlineLevel="0" collapsed="false">
      <c r="B68" s="74" t="s">
        <v>618</v>
      </c>
      <c r="C68" s="49" t="n">
        <v>15325.05</v>
      </c>
      <c r="D68" s="49" t="n">
        <v>6677.85</v>
      </c>
      <c r="F68" s="43" t="n">
        <f aca="false">IFERROR(C68/C69-1,"")</f>
        <v>0.0449622076075729</v>
      </c>
      <c r="G68" s="43" t="n">
        <f aca="false">IFERROR(D68/D69-1,"")</f>
        <v>0.0203291162449579</v>
      </c>
    </row>
    <row r="69" customFormat="false" ht="15" hidden="false" customHeight="true" outlineLevel="0" collapsed="false">
      <c r="B69" s="74" t="s">
        <v>619</v>
      </c>
      <c r="C69" s="49" t="n">
        <v>14665.65</v>
      </c>
      <c r="D69" s="49" t="n">
        <v>6544.8</v>
      </c>
      <c r="F69" s="43" t="n">
        <f aca="false">IFERROR(C69/C70-1,"")</f>
        <v>0.0954692979671412</v>
      </c>
      <c r="G69" s="43" t="n">
        <f aca="false">IFERROR(D69/D70-1,"")</f>
        <v>0.167192766572147</v>
      </c>
    </row>
    <row r="70" customFormat="false" ht="15" hidden="false" customHeight="true" outlineLevel="0" collapsed="false">
      <c r="B70" s="74" t="s">
        <v>620</v>
      </c>
      <c r="C70" s="49" t="n">
        <v>13387.55</v>
      </c>
      <c r="D70" s="49" t="n">
        <v>5607.3</v>
      </c>
      <c r="F70" s="43" t="n">
        <f aca="false">IFERROR(C70/C71-1,"")</f>
        <v>-0.0518463695855408</v>
      </c>
      <c r="G70" s="43" t="n">
        <f aca="false">IFERROR(D70/D71-1,"")</f>
        <v>-0.0781409265774504</v>
      </c>
    </row>
    <row r="71" customFormat="false" ht="15" hidden="false" customHeight="true" outlineLevel="0" collapsed="false">
      <c r="B71" s="74" t="s">
        <v>621</v>
      </c>
      <c r="C71" s="49" t="n">
        <v>14119.6</v>
      </c>
      <c r="D71" s="49" t="n">
        <v>6082.6</v>
      </c>
      <c r="F71" s="43" t="n">
        <f aca="false">IFERROR(C71/C72-1,"")</f>
        <v>-0.0448984837672111</v>
      </c>
      <c r="G71" s="43" t="n">
        <f aca="false">IFERROR(D71/D72-1,"")</f>
        <v>-0.0825986953734775</v>
      </c>
    </row>
    <row r="72" customFormat="false" ht="15" hidden="false" customHeight="true" outlineLevel="0" collapsed="false">
      <c r="B72" s="74" t="s">
        <v>622</v>
      </c>
      <c r="C72" s="49" t="n">
        <v>14783.35</v>
      </c>
      <c r="D72" s="49" t="n">
        <v>6630.25</v>
      </c>
      <c r="F72" s="43" t="n">
        <f aca="false">IFERROR(C72/C73-1,"")</f>
        <v>-0.0074624861526067</v>
      </c>
      <c r="G72" s="43" t="n">
        <f aca="false">IFERROR(D72/D73-1,"")</f>
        <v>0.00423337321842388</v>
      </c>
    </row>
    <row r="73" customFormat="false" ht="15" hidden="false" customHeight="true" outlineLevel="0" collapsed="false">
      <c r="B73" s="74" t="s">
        <v>623</v>
      </c>
      <c r="C73" s="49" t="n">
        <v>14894.5</v>
      </c>
      <c r="D73" s="49" t="n">
        <v>6602.3</v>
      </c>
      <c r="F73" s="43" t="n">
        <f aca="false">IFERROR(C73/C74-1,"")</f>
        <v>0.0409946917622719</v>
      </c>
      <c r="G73" s="43" t="n">
        <f aca="false">IFERROR(D73/D74-1,"")</f>
        <v>0.00523759496947274</v>
      </c>
    </row>
    <row r="74" customFormat="false" ht="15" hidden="false" customHeight="true" outlineLevel="0" collapsed="false">
      <c r="B74" s="74" t="s">
        <v>624</v>
      </c>
      <c r="C74" s="49" t="n">
        <v>14307.95</v>
      </c>
      <c r="D74" s="49" t="n">
        <v>6567.9</v>
      </c>
      <c r="F74" s="43" t="n">
        <f aca="false">IFERROR(C74/C75-1,"")</f>
        <v>-0.0411153071584867</v>
      </c>
      <c r="G74" s="43" t="n">
        <f aca="false">IFERROR(D74/D75-1,"")</f>
        <v>-0.0898647525081758</v>
      </c>
    </row>
    <row r="75" customFormat="false" ht="15" hidden="false" customHeight="true" outlineLevel="0" collapsed="false">
      <c r="B75" s="74" t="s">
        <v>625</v>
      </c>
      <c r="C75" s="49" t="n">
        <v>14921.45</v>
      </c>
      <c r="D75" s="49" t="n">
        <v>7216.4</v>
      </c>
      <c r="F75" s="43" t="n">
        <f aca="false">IFERROR(C75/C76-1,"")</f>
        <v>-0.0049845960976781</v>
      </c>
      <c r="G75" s="43" t="n">
        <f aca="false">IFERROR(D75/D76-1,"")</f>
        <v>-0.0493541736650398</v>
      </c>
    </row>
    <row r="76" customFormat="false" ht="15" hidden="false" customHeight="true" outlineLevel="0" collapsed="false">
      <c r="B76" s="74" t="s">
        <v>626</v>
      </c>
      <c r="C76" s="49" t="n">
        <v>14996.2</v>
      </c>
      <c r="D76" s="49" t="n">
        <v>7591.05</v>
      </c>
      <c r="F76" s="43" t="n">
        <f aca="false">IFERROR(C76/C77-1,"")</f>
        <v>0.0237467018469657</v>
      </c>
      <c r="G76" s="43" t="n">
        <f aca="false">IFERROR(D76/D77-1,"")</f>
        <v>0.021160248864974</v>
      </c>
    </row>
    <row r="77" customFormat="false" ht="15" hidden="false" customHeight="true" outlineLevel="0" collapsed="false">
      <c r="B77" s="74" t="s">
        <v>627</v>
      </c>
      <c r="C77" s="49" t="n">
        <v>14648.35</v>
      </c>
      <c r="D77" s="49" t="n">
        <v>7433.75</v>
      </c>
      <c r="F77" s="43" t="n">
        <f aca="false">IFERROR(C77/C78-1,"")</f>
        <v>-0.0290682645208756</v>
      </c>
      <c r="G77" s="43" t="n">
        <f aca="false">IFERROR(D77/D78-1,"")</f>
        <v>-0.0264927547619516</v>
      </c>
    </row>
    <row r="78" customFormat="false" ht="15" hidden="false" customHeight="true" outlineLevel="0" collapsed="false">
      <c r="B78" s="74" t="s">
        <v>628</v>
      </c>
      <c r="C78" s="49" t="n">
        <v>15086.9</v>
      </c>
      <c r="D78" s="49" t="n">
        <v>7636.05</v>
      </c>
      <c r="F78" s="43" t="n">
        <f aca="false">IFERROR(C78/C79-1,"")</f>
        <v>0.0022753468658343</v>
      </c>
      <c r="G78" s="43" t="n">
        <f aca="false">IFERROR(D78/D79-1,"")</f>
        <v>0.0324427738943498</v>
      </c>
    </row>
    <row r="79" customFormat="false" ht="15" hidden="false" customHeight="true" outlineLevel="0" collapsed="false">
      <c r="B79" s="74" t="s">
        <v>629</v>
      </c>
      <c r="C79" s="49" t="n">
        <v>15052.65</v>
      </c>
      <c r="D79" s="49" t="n">
        <v>7396.1</v>
      </c>
      <c r="F79" s="43" t="n">
        <f aca="false">IFERROR(C79/C80-1,"")</f>
        <v>0.0341270550086219</v>
      </c>
      <c r="G79" s="43" t="n">
        <f aca="false">IFERROR(D79/D80-1,"")</f>
        <v>-0.055710537571258</v>
      </c>
    </row>
    <row r="80" customFormat="false" ht="15" hidden="false" customHeight="true" outlineLevel="0" collapsed="false">
      <c r="B80" s="74" t="s">
        <v>630</v>
      </c>
      <c r="C80" s="49" t="n">
        <v>14555.9</v>
      </c>
      <c r="D80" s="49" t="n">
        <v>7832.45</v>
      </c>
      <c r="F80" s="43" t="n">
        <f aca="false">IFERROR(C80/C81-1,"")</f>
        <v>0.0652542217831202</v>
      </c>
      <c r="G80" s="43" t="n">
        <f aca="false">IFERROR(D80/D81-1,"")</f>
        <v>0.0279885027299454</v>
      </c>
    </row>
    <row r="81" customFormat="false" ht="15" hidden="false" customHeight="true" outlineLevel="0" collapsed="false">
      <c r="B81" s="74" t="s">
        <v>631</v>
      </c>
      <c r="C81" s="49" t="n">
        <v>13664.25</v>
      </c>
      <c r="D81" s="49" t="n">
        <v>7619.2</v>
      </c>
      <c r="F81" s="43" t="n">
        <f aca="false">IFERROR(C81/C82-1,"")</f>
        <v>0.0141536566086888</v>
      </c>
      <c r="G81" s="43" t="n">
        <f aca="false">IFERROR(D81/D82-1,"")</f>
        <v>0.12443919716647</v>
      </c>
    </row>
    <row r="82" customFormat="false" ht="15" hidden="false" customHeight="true" outlineLevel="0" collapsed="false">
      <c r="B82" s="74" t="s">
        <v>632</v>
      </c>
      <c r="C82" s="49" t="n">
        <v>13473.55</v>
      </c>
      <c r="D82" s="49" t="n">
        <v>6776</v>
      </c>
      <c r="F82" s="43" t="n">
        <f aca="false">IFERROR(C82/C83-1,"")</f>
        <v>0.0186899635953985</v>
      </c>
      <c r="G82" s="43" t="n">
        <f aca="false">IFERROR(D82/D83-1,"")</f>
        <v>0.0101371496720335</v>
      </c>
    </row>
    <row r="83" customFormat="false" ht="15" hidden="false" customHeight="true" outlineLevel="0" collapsed="false">
      <c r="B83" s="74" t="s">
        <v>633</v>
      </c>
      <c r="C83" s="49" t="n">
        <v>13226.35</v>
      </c>
      <c r="D83" s="49" t="n">
        <v>6708</v>
      </c>
      <c r="F83" s="43" t="n">
        <f aca="false">IFERROR(C83/C84-1,"")</f>
        <v>0.0697165641542015</v>
      </c>
      <c r="G83" s="43" t="n">
        <f aca="false">IFERROR(D83/D84-1,"")</f>
        <v>0.0683314885450592</v>
      </c>
    </row>
    <row r="84" customFormat="false" ht="15" hidden="false" customHeight="true" outlineLevel="0" collapsed="false">
      <c r="B84" s="74" t="s">
        <v>634</v>
      </c>
      <c r="C84" s="49" t="n">
        <v>12364.35</v>
      </c>
      <c r="D84" s="49" t="n">
        <v>6278.95</v>
      </c>
      <c r="F84" s="43" t="n">
        <f aca="false">IFERROR(C84/C85-1,"")</f>
        <v>0.00411330469314652</v>
      </c>
      <c r="G84" s="43" t="n">
        <f aca="false">IFERROR(D84/D85-1,"")</f>
        <v>-0.0681216096884068</v>
      </c>
    </row>
    <row r="85" customFormat="false" ht="15" hidden="false" customHeight="true" outlineLevel="0" collapsed="false">
      <c r="B85" s="74" t="s">
        <v>635</v>
      </c>
      <c r="C85" s="49" t="n">
        <v>12313.7</v>
      </c>
      <c r="D85" s="49" t="n">
        <v>6737.95</v>
      </c>
    </row>
    <row r="87" customFormat="false" ht="60" hidden="false" customHeight="true" outlineLevel="0" collapsed="false">
      <c r="A87" s="16" t="s">
        <v>636</v>
      </c>
      <c r="B87" s="16"/>
      <c r="C87" s="16"/>
      <c r="D87" s="16"/>
      <c r="E87" s="16"/>
      <c r="F87" s="16"/>
      <c r="G87" s="16"/>
      <c r="H87" s="16"/>
    </row>
    <row r="89" customFormat="false" ht="15" hidden="false" customHeight="true" outlineLevel="0" collapsed="false">
      <c r="A89" s="8" t="s">
        <v>637</v>
      </c>
      <c r="B89" s="8"/>
      <c r="C89" s="8"/>
      <c r="D89" s="8"/>
      <c r="E89" s="8"/>
      <c r="F89" s="8"/>
      <c r="G89" s="8"/>
      <c r="H89" s="8"/>
    </row>
    <row r="90" customFormat="false" ht="15" hidden="false" customHeight="true" outlineLevel="0" collapsed="false">
      <c r="A90" s="6" t="s">
        <v>638</v>
      </c>
      <c r="B90" s="76" t="n">
        <v>0.9436</v>
      </c>
    </row>
    <row r="91" customFormat="false" ht="15" hidden="false" customHeight="true" outlineLevel="0" collapsed="false">
      <c r="A91" s="6" t="s">
        <v>639</v>
      </c>
      <c r="B91" s="53" t="n">
        <v>1.0863</v>
      </c>
    </row>
    <row r="92" customFormat="false" ht="15" hidden="false" customHeight="true" outlineLevel="0" collapsed="false">
      <c r="A92" s="6" t="s">
        <v>640</v>
      </c>
      <c r="B92" s="79" t="n">
        <v>0.476</v>
      </c>
    </row>
    <row r="93" customFormat="false" ht="15" hidden="false" customHeight="true" outlineLevel="0" collapsed="false">
      <c r="A93" s="6" t="s">
        <v>641</v>
      </c>
      <c r="B93" s="80" t="n">
        <v>0.1427</v>
      </c>
    </row>
    <row r="95" customFormat="false" ht="120" hidden="false" customHeight="true" outlineLevel="0" collapsed="false">
      <c r="A95" s="33" t="s">
        <v>642</v>
      </c>
      <c r="B95" s="33"/>
      <c r="C95" s="33"/>
      <c r="D95" s="33"/>
      <c r="E95" s="33"/>
      <c r="F95" s="33"/>
      <c r="G95" s="33"/>
      <c r="H95" s="33"/>
    </row>
  </sheetData>
  <mergeCells count="6">
    <mergeCell ref="A4:H4"/>
    <mergeCell ref="A11:H11"/>
    <mergeCell ref="A18:H18"/>
    <mergeCell ref="A87:H87"/>
    <mergeCell ref="A89:H89"/>
    <mergeCell ref="A95:H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8" min="3" style="1" width="14"/>
  </cols>
  <sheetData>
    <row r="1" customFormat="false" ht="15" hidden="false" customHeight="true" outlineLevel="0" collapsed="false">
      <c r="A1" s="4" t="s">
        <v>235</v>
      </c>
      <c r="B1" s="4" t="s">
        <v>186</v>
      </c>
      <c r="C1" s="4" t="s">
        <v>442</v>
      </c>
      <c r="D1" s="4" t="s">
        <v>443</v>
      </c>
      <c r="E1" s="4" t="s">
        <v>444</v>
      </c>
      <c r="F1" s="4" t="s">
        <v>445</v>
      </c>
      <c r="G1" s="4" t="s">
        <v>446</v>
      </c>
      <c r="H1" s="4" t="s">
        <v>643</v>
      </c>
    </row>
    <row r="2" customFormat="false" ht="15" hidden="false" customHeight="true" outlineLevel="0" collapsed="false">
      <c r="A2" s="6" t="s">
        <v>17</v>
      </c>
      <c r="B2" s="23" t="s">
        <v>200</v>
      </c>
      <c r="C2" s="38" t="n">
        <f aca="false">'UTCL-P&amp;L'!C24</f>
        <v>4394.42999276439</v>
      </c>
      <c r="D2" s="38" t="n">
        <f aca="false">'UTCL-P&amp;L'!D24</f>
        <v>8819.86375974422</v>
      </c>
      <c r="E2" s="38" t="n">
        <f aca="false">'UTCL-P&amp;L'!E24</f>
        <v>11058.9953158448</v>
      </c>
      <c r="F2" s="38" t="n">
        <f aca="false">'UTCL-P&amp;L'!F24</f>
        <v>13034.1770904328</v>
      </c>
      <c r="G2" s="38" t="n">
        <f aca="false">'UTCL-P&amp;L'!G24</f>
        <v>14282.1313913206</v>
      </c>
      <c r="H2" s="81" t="n">
        <f aca="false">'UTCL-Balance Sheet'!C17</f>
        <v>10052.5909292424</v>
      </c>
    </row>
    <row r="3" customFormat="false" ht="15" hidden="false" customHeight="true" outlineLevel="0" collapsed="false">
      <c r="A3" s="5" t="s">
        <v>644</v>
      </c>
      <c r="B3" s="23" t="s">
        <v>200</v>
      </c>
      <c r="C3" s="82" t="n">
        <f aca="false">1/(1+'UTCL-Cost of Capital'!$B$16)^1</f>
        <v>0.898220946691051</v>
      </c>
      <c r="D3" s="82" t="n">
        <f aca="false">1/(1+'UTCL-Cost of Capital'!$B$16)^2</f>
        <v>0.806800869074567</v>
      </c>
      <c r="E3" s="82" t="n">
        <f aca="false">1/(1+'UTCL-Cost of Capital'!$B$16)^3</f>
        <v>0.72468544041132</v>
      </c>
      <c r="F3" s="82" t="n">
        <f aca="false">1/(1+'UTCL-Cost of Capital'!$B$16)^4</f>
        <v>0.650927642339476</v>
      </c>
      <c r="G3" s="82" t="n">
        <f aca="false">1/(1+'UTCL-Cost of Capital'!$B$16)^5</f>
        <v>0.584676843129538</v>
      </c>
    </row>
    <row r="4" customFormat="false" ht="15" hidden="false" customHeight="true" outlineLevel="0" collapsed="false">
      <c r="A4" s="6" t="s">
        <v>645</v>
      </c>
      <c r="B4" s="23" t="s">
        <v>200</v>
      </c>
      <c r="C4" s="38" t="n">
        <f aca="false">C2*C3</f>
        <v>3947.16906826837</v>
      </c>
      <c r="D4" s="38" t="n">
        <f aca="false">D2*D3</f>
        <v>7115.87374648092</v>
      </c>
      <c r="E4" s="38" t="n">
        <f aca="false">E2*E3</f>
        <v>8014.29289096968</v>
      </c>
      <c r="F4" s="38" t="n">
        <f aca="false">F2*F3</f>
        <v>8484.30616331062</v>
      </c>
      <c r="G4" s="38" t="n">
        <f aca="false">G2*G3</f>
        <v>8350.43149503862</v>
      </c>
    </row>
    <row r="6" customFormat="false" ht="15" hidden="false" customHeight="true" outlineLevel="0" collapsed="false">
      <c r="A6" s="5" t="s">
        <v>646</v>
      </c>
      <c r="C6" s="28" t="n">
        <f aca="false">SUM(C4:G4)</f>
        <v>35912.0733640682</v>
      </c>
    </row>
    <row r="7" customFormat="false" ht="15" hidden="false" customHeight="true" outlineLevel="0" collapsed="false">
      <c r="A7" s="5" t="s">
        <v>647</v>
      </c>
      <c r="C7" s="28" t="n">
        <f aca="false">IF('UTCL-Assumptions'!$B$65=1,('UTCL-Balance Sheet'!C36/('UTCL-Cost of Capital'!$B$16-'UTCL-Assumptions'!$B$35))+'UTCL-Balance Sheet'!C34,H2/('UTCL-Cost of Capital'!$B$16-'UTCL-Assumptions'!$B$35))</f>
        <v>231776.995643371</v>
      </c>
    </row>
    <row r="8" customFormat="false" ht="15" hidden="false" customHeight="true" outlineLevel="0" collapsed="false">
      <c r="A8" s="5" t="s">
        <v>648</v>
      </c>
      <c r="C8" s="28" t="n">
        <f aca="false">C7*G3</f>
        <v>135514.642122815</v>
      </c>
    </row>
    <row r="9" customFormat="false" ht="15" hidden="false" customHeight="true" outlineLevel="0" collapsed="false">
      <c r="A9" s="6" t="s">
        <v>649</v>
      </c>
      <c r="C9" s="35" t="n">
        <f aca="false">C6+C8</f>
        <v>171426.715486883</v>
      </c>
    </row>
    <row r="10" customFormat="false" ht="15" hidden="false" customHeight="true" outlineLevel="0" collapsed="false">
      <c r="A10" s="5" t="s">
        <v>650</v>
      </c>
      <c r="C10" s="28" t="n">
        <f aca="false">'UTCL-Assumptions'!$B$39</f>
        <v>1384.35</v>
      </c>
    </row>
    <row r="11" customFormat="false" ht="15" hidden="false" customHeight="true" outlineLevel="0" collapsed="false">
      <c r="A11" s="5" t="s">
        <v>651</v>
      </c>
      <c r="C11" s="28" t="n">
        <f aca="false">'UTCL-Assumptions'!$B$45</f>
        <v>6739.51</v>
      </c>
    </row>
    <row r="12" customFormat="false" ht="15" hidden="false" customHeight="true" outlineLevel="0" collapsed="false">
      <c r="A12" s="5" t="s">
        <v>652</v>
      </c>
      <c r="C12" s="28" t="n">
        <f aca="false">-'UTCL-Assumptions'!$B$46</f>
        <v>-22780.66</v>
      </c>
    </row>
    <row r="13" customFormat="false" ht="15" hidden="false" customHeight="true" outlineLevel="0" collapsed="false">
      <c r="A13" s="5" t="s">
        <v>653</v>
      </c>
      <c r="C13" s="28" t="n">
        <f aca="false">-'UTCL-Assumptions'!$B$47</f>
        <v>-974.43</v>
      </c>
    </row>
    <row r="14" customFormat="false" ht="15" hidden="false" customHeight="true" outlineLevel="0" collapsed="false">
      <c r="A14" s="6" t="s">
        <v>271</v>
      </c>
      <c r="C14" s="35" t="n">
        <f aca="false">SUM(C9:C13)-'UTCL-Assumptions'!$B$58</f>
        <v>151706.585486883</v>
      </c>
    </row>
    <row r="15" customFormat="false" ht="15" hidden="false" customHeight="true" outlineLevel="0" collapsed="false">
      <c r="A15" s="6" t="s">
        <v>654</v>
      </c>
      <c r="C15" s="36" t="n">
        <f aca="false">C14/'UTCL-Assumptions'!$B$5</f>
        <v>5148.18058527498</v>
      </c>
    </row>
    <row r="16" customFormat="false" ht="15" hidden="false" customHeight="true" outlineLevel="0" collapsed="false">
      <c r="A16" s="5" t="s">
        <v>655</v>
      </c>
      <c r="C16" s="27" t="n">
        <f aca="false">C8/C9</f>
        <v>0.790510637376027</v>
      </c>
    </row>
    <row r="17" customFormat="false" ht="15" hidden="false" customHeight="true" outlineLevel="0" collapsed="false">
      <c r="A17" s="5" t="s">
        <v>656</v>
      </c>
      <c r="C17" s="83" t="n">
        <f aca="false">C7/('UTCL-P&amp;L'!G15*(1+'UTCL-Assumptions'!$B$35))</f>
        <v>7.68871951752449</v>
      </c>
    </row>
    <row r="19" customFormat="false" ht="15" hidden="false" customHeight="true" outlineLevel="0" collapsed="false">
      <c r="A19" s="16" t="s">
        <v>657</v>
      </c>
      <c r="B19" s="16"/>
      <c r="C19" s="16"/>
      <c r="D19" s="16"/>
      <c r="E19" s="16"/>
      <c r="F19" s="16"/>
      <c r="G19" s="16"/>
      <c r="H19" s="16"/>
    </row>
    <row r="21" customFormat="false" ht="15" hidden="false" customHeight="true" outlineLevel="0" collapsed="false">
      <c r="A21" s="8" t="s">
        <v>658</v>
      </c>
      <c r="B21" s="8"/>
      <c r="C21" s="8"/>
      <c r="D21" s="8"/>
      <c r="E21" s="8"/>
      <c r="F21" s="8"/>
      <c r="G21" s="8"/>
      <c r="H21" s="8"/>
    </row>
    <row r="22" customFormat="false" ht="39" hidden="false" customHeight="true" outlineLevel="0" collapsed="false">
      <c r="A22" s="4" t="s">
        <v>659</v>
      </c>
      <c r="B22" s="4" t="s">
        <v>660</v>
      </c>
      <c r="C22" s="4"/>
      <c r="D22" s="4" t="s">
        <v>661</v>
      </c>
      <c r="E22" s="4"/>
      <c r="F22" s="4"/>
      <c r="G22" s="4"/>
      <c r="H22" s="4"/>
    </row>
    <row r="23" customFormat="false" ht="45" hidden="false" customHeight="true" outlineLevel="0" collapsed="false">
      <c r="A23" s="84" t="n">
        <v>19.05</v>
      </c>
      <c r="B23" s="37" t="n">
        <v>0.0978</v>
      </c>
      <c r="D23" s="19" t="s">
        <v>662</v>
      </c>
      <c r="E23" s="19"/>
      <c r="F23" s="19"/>
      <c r="G23" s="19"/>
      <c r="H23" s="19"/>
    </row>
    <row r="24" customFormat="false" ht="15" hidden="false" customHeight="true" outlineLevel="0" collapsed="false">
      <c r="A24" s="84" t="n">
        <v>15</v>
      </c>
      <c r="B24" s="37" t="n">
        <v>0.0935</v>
      </c>
      <c r="D24" s="19" t="s">
        <v>663</v>
      </c>
      <c r="E24" s="19"/>
      <c r="F24" s="19"/>
      <c r="G24" s="19"/>
      <c r="H24" s="19"/>
    </row>
    <row r="25" customFormat="false" ht="15" hidden="false" customHeight="true" outlineLevel="0" collapsed="false">
      <c r="A25" s="84" t="n">
        <v>12</v>
      </c>
      <c r="B25" s="37" t="n">
        <v>0.0877</v>
      </c>
      <c r="D25" s="19" t="s">
        <v>664</v>
      </c>
      <c r="E25" s="19"/>
      <c r="F25" s="19"/>
      <c r="G25" s="19"/>
      <c r="H25" s="19"/>
    </row>
    <row r="26" customFormat="false" ht="15" hidden="false" customHeight="true" outlineLevel="0" collapsed="false">
      <c r="A26" s="84" t="n">
        <v>10</v>
      </c>
      <c r="B26" s="37" t="n">
        <v>0.0809</v>
      </c>
      <c r="D26" s="19" t="s">
        <v>665</v>
      </c>
      <c r="E26" s="19"/>
      <c r="F26" s="19"/>
      <c r="G26" s="19"/>
      <c r="H26" s="19"/>
    </row>
    <row r="27" customFormat="false" ht="30" hidden="false" customHeight="true" outlineLevel="0" collapsed="false">
      <c r="A27" s="84" t="n">
        <v>8</v>
      </c>
      <c r="B27" s="37" t="n">
        <v>0.0679</v>
      </c>
      <c r="D27" s="19" t="s">
        <v>666</v>
      </c>
      <c r="E27" s="19"/>
      <c r="F27" s="19"/>
      <c r="G27" s="19"/>
      <c r="H27" s="19"/>
    </row>
    <row r="28" customFormat="false" ht="15" hidden="false" customHeight="true" outlineLevel="0" collapsed="false">
      <c r="A28" s="84" t="n">
        <v>6.8</v>
      </c>
      <c r="B28" s="37" t="n">
        <v>0.05</v>
      </c>
      <c r="D28" s="19" t="s">
        <v>667</v>
      </c>
      <c r="E28" s="19"/>
      <c r="F28" s="19"/>
      <c r="G28" s="19"/>
      <c r="H28" s="19"/>
    </row>
    <row r="30" customFormat="false" ht="75" hidden="false" customHeight="true" outlineLevel="0" collapsed="false">
      <c r="A30" s="16" t="s">
        <v>668</v>
      </c>
      <c r="B30" s="16"/>
      <c r="C30" s="16"/>
      <c r="D30" s="16"/>
      <c r="E30" s="16"/>
      <c r="F30" s="16"/>
      <c r="G30" s="16"/>
      <c r="H30" s="16"/>
    </row>
  </sheetData>
  <mergeCells count="9">
    <mergeCell ref="A19:H19"/>
    <mergeCell ref="A21:H21"/>
    <mergeCell ref="D23:H23"/>
    <mergeCell ref="D24:H24"/>
    <mergeCell ref="D25:H25"/>
    <mergeCell ref="D26:H26"/>
    <mergeCell ref="D27:H27"/>
    <mergeCell ref="D28:H28"/>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8" min="3" style="1" width="14"/>
  </cols>
  <sheetData>
    <row r="1" customFormat="false" ht="15" hidden="false" customHeight="true" outlineLevel="0" collapsed="false">
      <c r="A1" s="4" t="s">
        <v>235</v>
      </c>
      <c r="B1" s="4" t="s">
        <v>186</v>
      </c>
      <c r="C1" s="4" t="s">
        <v>442</v>
      </c>
      <c r="D1" s="4" t="s">
        <v>443</v>
      </c>
      <c r="E1" s="4" t="s">
        <v>444</v>
      </c>
      <c r="F1" s="4" t="s">
        <v>445</v>
      </c>
      <c r="G1" s="4" t="s">
        <v>446</v>
      </c>
      <c r="H1" s="4" t="s">
        <v>643</v>
      </c>
    </row>
    <row r="2" customFormat="false" ht="15" hidden="false" customHeight="true" outlineLevel="0" collapsed="false">
      <c r="A2" s="6" t="s">
        <v>669</v>
      </c>
      <c r="B2" s="23" t="s">
        <v>200</v>
      </c>
      <c r="C2" s="28" t="n">
        <f aca="false">(D2+'UTCL-P&amp;L'!D24)/(1+'UTCL-Cost of Capital'!$B$16)</f>
        <v>186456.95920986</v>
      </c>
      <c r="D2" s="28" t="n">
        <f aca="false">(E2+'UTCL-P&amp;L'!E24)/(1+'UTCL-Cost of Capital'!$B$16)</f>
        <v>198764.873488643</v>
      </c>
      <c r="E2" s="28" t="n">
        <f aca="false">(F2+'UTCL-P&amp;L'!F24)/(1+'UTCL-Cost of Capital'!$B$16)</f>
        <v>210228.288420826</v>
      </c>
      <c r="F2" s="28" t="n">
        <f aca="false">(G2+'UTCL-P&amp;L'!G24)/(1+'UTCL-Cost of Capital'!$B$16)</f>
        <v>221015.462027074</v>
      </c>
      <c r="G2" s="28" t="n">
        <f aca="false">'UTCL-FCFF valuation'!C7</f>
        <v>231776.995643371</v>
      </c>
    </row>
    <row r="3" customFormat="false" ht="15" hidden="false" customHeight="true" outlineLevel="0" collapsed="false">
      <c r="A3" s="6" t="s">
        <v>670</v>
      </c>
      <c r="B3" s="38" t="n">
        <f aca="false">(C2+'UTCL-P&amp;L'!C24)/(1+'UTCL-Cost of Capital'!$B$16)</f>
        <v>171426.715486883</v>
      </c>
    </row>
    <row r="4" customFormat="false" ht="15" hidden="false" customHeight="true" outlineLevel="0" collapsed="false">
      <c r="A4" s="5" t="s">
        <v>671</v>
      </c>
      <c r="B4" s="23" t="s">
        <v>200</v>
      </c>
      <c r="C4" s="28" t="n">
        <f aca="false">$B$3*'UTCL-Cost of Capital'!$B$14</f>
        <v>10414.3443925436</v>
      </c>
      <c r="D4" s="28" t="n">
        <f aca="false">C2*'UTCL-Cost of Capital'!$B$14</f>
        <v>11327.4467289582</v>
      </c>
      <c r="E4" s="28" t="n">
        <f aca="false">D2*'UTCL-Cost of Capital'!$B$14</f>
        <v>12075.1648293086</v>
      </c>
      <c r="F4" s="28" t="n">
        <f aca="false">E2*'UTCL-Cost of Capital'!$B$14</f>
        <v>12771.5787498536</v>
      </c>
      <c r="G4" s="28" t="n">
        <f aca="false">F2*'UTCL-Cost of Capital'!$B$14</f>
        <v>13426.9103336068</v>
      </c>
    </row>
    <row r="5" customFormat="false" ht="15" hidden="false" customHeight="true" outlineLevel="0" collapsed="false">
      <c r="A5" s="5" t="s">
        <v>672</v>
      </c>
      <c r="B5" s="23" t="s">
        <v>200</v>
      </c>
      <c r="C5" s="28" t="n">
        <f aca="false">C4*'UTCL-Cost of Capital'!$B$12</f>
        <v>868.556322338138</v>
      </c>
      <c r="D5" s="28" t="n">
        <f aca="false">D4*'UTCL-Cost of Capital'!$B$12</f>
        <v>944.709057195112</v>
      </c>
      <c r="E5" s="28" t="n">
        <f aca="false">E4*'UTCL-Cost of Capital'!$B$12</f>
        <v>1007.06874676433</v>
      </c>
      <c r="F5" s="28" t="n">
        <f aca="false">F4*'UTCL-Cost of Capital'!$B$12</f>
        <v>1065.14966773779</v>
      </c>
      <c r="G5" s="28" t="n">
        <f aca="false">G4*'UTCL-Cost of Capital'!$B$12</f>
        <v>1119.8043218228</v>
      </c>
    </row>
    <row r="6" customFormat="false" ht="15" hidden="false" customHeight="true" outlineLevel="0" collapsed="false">
      <c r="A6" s="5" t="s">
        <v>673</v>
      </c>
      <c r="B6" s="23" t="s">
        <v>200</v>
      </c>
      <c r="C6" s="28" t="n">
        <f aca="false">C5*'UTCL-Cost of Capital'!$B$13</f>
        <v>218.598255206063</v>
      </c>
      <c r="D6" s="28" t="n">
        <f aca="false">D5*'UTCL-Cost of Capital'!$B$13</f>
        <v>237.764375514866</v>
      </c>
      <c r="E6" s="28" t="n">
        <f aca="false">E5*'UTCL-Cost of Capital'!$B$13</f>
        <v>253.459062185648</v>
      </c>
      <c r="F6" s="28" t="n">
        <f aca="false">F5*'UTCL-Cost of Capital'!$B$13</f>
        <v>268.076868376247</v>
      </c>
      <c r="G6" s="28" t="n">
        <f aca="false">G5*'UTCL-Cost of Capital'!$B$13</f>
        <v>281.832351716364</v>
      </c>
      <c r="H6" s="81" t="n">
        <f aca="false">G2*'UTCL-Cost of Capital'!$B$14*'UTCL-Cost of Capital'!$B$12*'UTCL-Cost of Capital'!$B$13</f>
        <v>295.555139702953</v>
      </c>
    </row>
    <row r="7" customFormat="false" ht="15" hidden="false" customHeight="true" outlineLevel="0" collapsed="false">
      <c r="A7" s="6" t="s">
        <v>674</v>
      </c>
      <c r="B7" s="23" t="s">
        <v>200</v>
      </c>
      <c r="C7" s="38" t="n">
        <f aca="false">'UTCL-P&amp;L'!C24+C6</f>
        <v>4613.02824797045</v>
      </c>
      <c r="D7" s="38" t="n">
        <f aca="false">'UTCL-P&amp;L'!D24+D6</f>
        <v>9057.62813525909</v>
      </c>
      <c r="E7" s="38" t="n">
        <f aca="false">'UTCL-P&amp;L'!E24+E6</f>
        <v>11312.4543780304</v>
      </c>
      <c r="F7" s="38" t="n">
        <f aca="false">'UTCL-P&amp;L'!F24+F6</f>
        <v>13302.253958809</v>
      </c>
      <c r="G7" s="38" t="n">
        <f aca="false">'UTCL-P&amp;L'!G24+G6</f>
        <v>14563.963743037</v>
      </c>
      <c r="H7" s="81" t="n">
        <f aca="false">'UTCL-FCFF valuation'!H2+H6</f>
        <v>10348.1460689454</v>
      </c>
    </row>
    <row r="8" customFormat="false" ht="15" hidden="false" customHeight="true" outlineLevel="0" collapsed="false">
      <c r="A8" s="5" t="s">
        <v>675</v>
      </c>
      <c r="B8" s="23" t="s">
        <v>200</v>
      </c>
      <c r="C8" s="82" t="n">
        <f aca="false">1/(1+'UTCL-Cost of Capital'!$B$17)^1</f>
        <v>0.897193315222872</v>
      </c>
      <c r="D8" s="82" t="n">
        <f aca="false">1/(1+'UTCL-Cost of Capital'!$B$17)^2</f>
        <v>0.804955844880607</v>
      </c>
      <c r="E8" s="82" t="n">
        <f aca="false">1/(1+'UTCL-Cost of Capital'!$B$17)^3</f>
        <v>0.722201003076459</v>
      </c>
      <c r="F8" s="82" t="n">
        <f aca="false">1/(1+'UTCL-Cost of Capital'!$B$17)^4</f>
        <v>0.647953912207452</v>
      </c>
      <c r="G8" s="82" t="n">
        <f aca="false">1/(1+'UTCL-Cost of Capital'!$B$17)^5</f>
        <v>0.581339918605033</v>
      </c>
    </row>
    <row r="9" customFormat="false" ht="15" hidden="false" customHeight="true" outlineLevel="0" collapsed="false">
      <c r="A9" s="6" t="s">
        <v>676</v>
      </c>
      <c r="B9" s="23" t="s">
        <v>200</v>
      </c>
      <c r="C9" s="38" t="n">
        <f aca="false">C7*C8</f>
        <v>4138.77810701336</v>
      </c>
      <c r="D9" s="38" t="n">
        <f aca="false">D7*D8</f>
        <v>7290.99070823184</v>
      </c>
      <c r="E9" s="38" t="n">
        <f aca="false">E7*E8</f>
        <v>8169.86589907024</v>
      </c>
      <c r="F9" s="38" t="n">
        <f aca="false">F7*F8</f>
        <v>8619.24749378737</v>
      </c>
      <c r="G9" s="38" t="n">
        <f aca="false">G7*G8</f>
        <v>8466.61349694377</v>
      </c>
    </row>
    <row r="11" customFormat="false" ht="15" hidden="false" customHeight="true" outlineLevel="0" collapsed="false">
      <c r="A11" s="5" t="s">
        <v>677</v>
      </c>
      <c r="C11" s="28" t="n">
        <f aca="false">SUM(C9:G9)</f>
        <v>36685.4957050466</v>
      </c>
    </row>
    <row r="12" customFormat="false" ht="15" hidden="false" customHeight="true" outlineLevel="0" collapsed="false">
      <c r="A12" s="5" t="s">
        <v>678</v>
      </c>
      <c r="C12" s="28" t="n">
        <f aca="false">H7/('UTCL-Cost of Capital'!$B$17-'UTCL-Assumptions'!$B$35)</f>
        <v>231776.995643371</v>
      </c>
    </row>
    <row r="13" customFormat="false" ht="15" hidden="false" customHeight="true" outlineLevel="0" collapsed="false">
      <c r="A13" s="5" t="s">
        <v>648</v>
      </c>
      <c r="C13" s="28" t="n">
        <f aca="false">C12*G8</f>
        <v>134741.219781836</v>
      </c>
    </row>
    <row r="14" customFormat="false" ht="15" hidden="false" customHeight="true" outlineLevel="0" collapsed="false">
      <c r="A14" s="6" t="s">
        <v>649</v>
      </c>
      <c r="C14" s="35" t="n">
        <f aca="false">C11+C13</f>
        <v>171426.715486883</v>
      </c>
    </row>
    <row r="15" customFormat="false" ht="15" hidden="false" customHeight="true" outlineLevel="0" collapsed="false">
      <c r="A15" s="6" t="s">
        <v>271</v>
      </c>
      <c r="C15" s="35" t="n">
        <f aca="false">C14+'UTCL-Assumptions'!$B$39+'UTCL-Assumptions'!$B$45-'UTCL-Assumptions'!$B$46-'UTCL-Assumptions'!$B$47-'UTCL-Assumptions'!$B$58</f>
        <v>151706.585486883</v>
      </c>
    </row>
    <row r="16" customFormat="false" ht="15" hidden="false" customHeight="true" outlineLevel="0" collapsed="false">
      <c r="A16" s="6" t="s">
        <v>654</v>
      </c>
      <c r="C16" s="36" t="n">
        <f aca="false">C15/'UTCL-Assumptions'!$B$5</f>
        <v>5148.18058527497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8" min="3" style="1" width="14"/>
  </cols>
  <sheetData>
    <row r="1" customFormat="false" ht="15" hidden="false" customHeight="true" outlineLevel="0" collapsed="false">
      <c r="A1" s="4" t="s">
        <v>235</v>
      </c>
      <c r="B1" s="4" t="s">
        <v>186</v>
      </c>
      <c r="C1" s="4" t="s">
        <v>442</v>
      </c>
      <c r="D1" s="4" t="s">
        <v>443</v>
      </c>
      <c r="E1" s="4" t="s">
        <v>444</v>
      </c>
      <c r="F1" s="4" t="s">
        <v>445</v>
      </c>
      <c r="G1" s="4" t="s">
        <v>446</v>
      </c>
      <c r="H1" s="4" t="s">
        <v>643</v>
      </c>
    </row>
    <row r="2" customFormat="false" ht="15" hidden="false" customHeight="true" outlineLevel="0" collapsed="false">
      <c r="A2" s="5" t="s">
        <v>679</v>
      </c>
      <c r="B2" s="23" t="s">
        <v>200</v>
      </c>
      <c r="C2" s="28" t="n">
        <f aca="false">'UTCL-P&amp;L'!C24</f>
        <v>4394.42999276439</v>
      </c>
      <c r="D2" s="28" t="n">
        <f aca="false">'UTCL-P&amp;L'!D24</f>
        <v>8819.86375974422</v>
      </c>
      <c r="E2" s="28" t="n">
        <f aca="false">'UTCL-P&amp;L'!E24</f>
        <v>11058.9953158448</v>
      </c>
      <c r="F2" s="28" t="n">
        <f aca="false">'UTCL-P&amp;L'!F24</f>
        <v>13034.1770904328</v>
      </c>
      <c r="G2" s="28" t="n">
        <f aca="false">'UTCL-P&amp;L'!G24</f>
        <v>14282.1313913206</v>
      </c>
      <c r="H2" s="81" t="n">
        <f aca="false">'UTCL-FCFF valuation'!H2</f>
        <v>10052.5909292424</v>
      </c>
    </row>
    <row r="3" customFormat="false" ht="15" hidden="false" customHeight="true" outlineLevel="0" collapsed="false">
      <c r="A3" s="5" t="s">
        <v>675</v>
      </c>
      <c r="B3" s="23" t="s">
        <v>200</v>
      </c>
      <c r="C3" s="82" t="n">
        <f aca="false">1/(1+'UTCL-Cost of Capital'!$B$17)^1</f>
        <v>0.897193315222872</v>
      </c>
      <c r="D3" s="82" t="n">
        <f aca="false">1/(1+'UTCL-Cost of Capital'!$B$17)^2</f>
        <v>0.804955844880607</v>
      </c>
      <c r="E3" s="82" t="n">
        <f aca="false">1/(1+'UTCL-Cost of Capital'!$B$17)^3</f>
        <v>0.722201003076459</v>
      </c>
      <c r="F3" s="82" t="n">
        <f aca="false">1/(1+'UTCL-Cost of Capital'!$B$17)^4</f>
        <v>0.647953912207452</v>
      </c>
      <c r="G3" s="82" t="n">
        <f aca="false">1/(1+'UTCL-Cost of Capital'!$B$17)^5</f>
        <v>0.581339918605033</v>
      </c>
    </row>
    <row r="4" customFormat="false" ht="15" hidden="false" customHeight="true" outlineLevel="0" collapsed="false">
      <c r="A4" s="5" t="s">
        <v>680</v>
      </c>
      <c r="B4" s="23" t="s">
        <v>200</v>
      </c>
      <c r="C4" s="28" t="n">
        <f aca="false">C2*C3</f>
        <v>3942.6532137231</v>
      </c>
      <c r="D4" s="28" t="n">
        <f aca="false">D2*D3</f>
        <v>7099.60088445676</v>
      </c>
      <c r="E4" s="28" t="n">
        <f aca="false">E2*E3</f>
        <v>7986.81751012095</v>
      </c>
      <c r="F4" s="28" t="n">
        <f aca="false">F2*F3</f>
        <v>8445.54603815066</v>
      </c>
      <c r="G4" s="28" t="n">
        <f aca="false">G2*G3</f>
        <v>8302.77310053672</v>
      </c>
    </row>
    <row r="5" customFormat="false" ht="15" hidden="false" customHeight="true" outlineLevel="0" collapsed="false">
      <c r="A5" s="5" t="s">
        <v>673</v>
      </c>
      <c r="B5" s="23" t="s">
        <v>200</v>
      </c>
      <c r="C5" s="28" t="n">
        <f aca="false">'UTCL-CCF valuation'!C6</f>
        <v>218.598255206063</v>
      </c>
      <c r="D5" s="28" t="n">
        <f aca="false">'UTCL-CCF valuation'!D6</f>
        <v>237.764375514866</v>
      </c>
      <c r="E5" s="28" t="n">
        <f aca="false">'UTCL-CCF valuation'!E6</f>
        <v>253.459062185648</v>
      </c>
      <c r="F5" s="28" t="n">
        <f aca="false">'UTCL-CCF valuation'!F6</f>
        <v>268.076868376247</v>
      </c>
      <c r="G5" s="28" t="n">
        <f aca="false">'UTCL-CCF valuation'!G6</f>
        <v>281.832351716364</v>
      </c>
      <c r="H5" s="81" t="n">
        <f aca="false">'UTCL-CCF valuation'!H6</f>
        <v>295.555139702953</v>
      </c>
    </row>
    <row r="6" customFormat="false" ht="15" hidden="false" customHeight="true" outlineLevel="0" collapsed="false">
      <c r="A6" s="5" t="s">
        <v>681</v>
      </c>
      <c r="B6" s="23" t="s">
        <v>200</v>
      </c>
      <c r="C6" s="28" t="n">
        <f aca="false">C5*C3</f>
        <v>196.124893290263</v>
      </c>
      <c r="D6" s="28" t="n">
        <f aca="false">D5*D3</f>
        <v>191.389823775079</v>
      </c>
      <c r="E6" s="28" t="n">
        <f aca="false">E5*E3</f>
        <v>183.048388949293</v>
      </c>
      <c r="F6" s="28" t="n">
        <f aca="false">F5*F3</f>
        <v>173.701455636711</v>
      </c>
      <c r="G6" s="28" t="n">
        <f aca="false">G5*G3</f>
        <v>163.840396407056</v>
      </c>
    </row>
    <row r="8" customFormat="false" ht="15" hidden="false" customHeight="true" outlineLevel="0" collapsed="false">
      <c r="A8" s="5" t="s">
        <v>646</v>
      </c>
      <c r="C8" s="28" t="n">
        <f aca="false">SUM(C4:G4)</f>
        <v>35777.3907469882</v>
      </c>
    </row>
    <row r="9" customFormat="false" ht="15" hidden="false" customHeight="true" outlineLevel="0" collapsed="false">
      <c r="A9" s="5" t="s">
        <v>682</v>
      </c>
      <c r="C9" s="28" t="n">
        <f aca="false">H2/('UTCL-Cost of Capital'!$B$17-'UTCL-Assumptions'!$B$35)</f>
        <v>225157.173902268</v>
      </c>
    </row>
    <row r="10" customFormat="false" ht="15" hidden="false" customHeight="true" outlineLevel="0" collapsed="false">
      <c r="A10" s="6" t="s">
        <v>683</v>
      </c>
      <c r="C10" s="38" t="n">
        <f aca="false">C8+C9*G3</f>
        <v>166670.243896672</v>
      </c>
    </row>
    <row r="11" customFormat="false" ht="15" hidden="false" customHeight="true" outlineLevel="0" collapsed="false">
      <c r="A11" s="5" t="s">
        <v>684</v>
      </c>
      <c r="C11" s="28" t="n">
        <f aca="false">SUM(C6:G6)</f>
        <v>908.104958058402</v>
      </c>
    </row>
    <row r="12" customFormat="false" ht="15" hidden="false" customHeight="true" outlineLevel="0" collapsed="false">
      <c r="A12" s="5" t="s">
        <v>685</v>
      </c>
      <c r="C12" s="28" t="n">
        <f aca="false">H5/('UTCL-Cost of Capital'!$B$17-'UTCL-Assumptions'!$B$35)</f>
        <v>6619.82174110234</v>
      </c>
    </row>
    <row r="13" customFormat="false" ht="15" hidden="false" customHeight="true" outlineLevel="0" collapsed="false">
      <c r="A13" s="6" t="s">
        <v>686</v>
      </c>
      <c r="C13" s="38" t="n">
        <f aca="false">C11+C12*G3</f>
        <v>4756.47159021066</v>
      </c>
    </row>
    <row r="14" customFormat="false" ht="15" hidden="false" customHeight="true" outlineLevel="0" collapsed="false">
      <c r="A14" s="6" t="s">
        <v>649</v>
      </c>
      <c r="C14" s="35" t="n">
        <f aca="false">C10+C13</f>
        <v>171426.715486883</v>
      </c>
    </row>
    <row r="15" customFormat="false" ht="15" hidden="false" customHeight="true" outlineLevel="0" collapsed="false">
      <c r="A15" s="6" t="s">
        <v>271</v>
      </c>
      <c r="C15" s="35" t="n">
        <f aca="false">C14+'UTCL-Assumptions'!$B$39+'UTCL-Assumptions'!$B$45-'UTCL-Assumptions'!$B$46-'UTCL-Assumptions'!$B$47-'UTCL-Assumptions'!$B$58</f>
        <v>151706.585486883</v>
      </c>
    </row>
    <row r="16" customFormat="false" ht="15" hidden="false" customHeight="true" outlineLevel="0" collapsed="false">
      <c r="A16" s="6" t="s">
        <v>654</v>
      </c>
      <c r="C16" s="36" t="n">
        <f aca="false">C15/'UTCL-Assumptions'!$B$5</f>
        <v>5148.18058527497</v>
      </c>
    </row>
    <row r="18" customFormat="false" ht="30" hidden="false" customHeight="true" outlineLevel="0" collapsed="false">
      <c r="A18" s="16" t="s">
        <v>687</v>
      </c>
      <c r="B18" s="16"/>
      <c r="C18" s="16"/>
      <c r="D18" s="16"/>
      <c r="E18" s="16"/>
      <c r="F18" s="16"/>
      <c r="G18" s="16"/>
      <c r="H18" s="16"/>
    </row>
  </sheetData>
  <mergeCells count="1">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7" min="3" style="1" width="14"/>
  </cols>
  <sheetData>
    <row r="1" customFormat="false" ht="15" hidden="false" customHeight="true" outlineLevel="0" collapsed="false">
      <c r="A1" s="4" t="s">
        <v>235</v>
      </c>
      <c r="B1" s="4" t="s">
        <v>186</v>
      </c>
      <c r="C1" s="4" t="s">
        <v>442</v>
      </c>
      <c r="D1" s="4" t="s">
        <v>443</v>
      </c>
      <c r="E1" s="4" t="s">
        <v>444</v>
      </c>
      <c r="F1" s="4" t="s">
        <v>445</v>
      </c>
      <c r="G1" s="4" t="s">
        <v>446</v>
      </c>
    </row>
    <row r="2" customFormat="false" ht="15" hidden="false" customHeight="true" outlineLevel="0" collapsed="false">
      <c r="A2" s="5" t="s">
        <v>17</v>
      </c>
      <c r="B2" s="23" t="s">
        <v>200</v>
      </c>
      <c r="C2" s="28" t="n">
        <f aca="false">'UTCL-P&amp;L'!C24</f>
        <v>4394.42999276439</v>
      </c>
      <c r="D2" s="28" t="n">
        <f aca="false">'UTCL-P&amp;L'!D24</f>
        <v>8819.86375974422</v>
      </c>
      <c r="E2" s="28" t="n">
        <f aca="false">'UTCL-P&amp;L'!E24</f>
        <v>11058.9953158448</v>
      </c>
      <c r="F2" s="28" t="n">
        <f aca="false">'UTCL-P&amp;L'!F24</f>
        <v>13034.1770904328</v>
      </c>
      <c r="G2" s="28" t="n">
        <f aca="false">'UTCL-P&amp;L'!G24</f>
        <v>14282.1313913206</v>
      </c>
    </row>
    <row r="3" customFormat="false" ht="15" hidden="false" customHeight="true" outlineLevel="0" collapsed="false">
      <c r="A3" s="5" t="s">
        <v>688</v>
      </c>
      <c r="B3" s="23" t="s">
        <v>200</v>
      </c>
      <c r="C3" s="28" t="n">
        <f aca="false">-'UTCL-CCF valuation'!C5*(1-'UTCL-Cost of Capital'!$B$13)</f>
        <v>-649.958067132076</v>
      </c>
      <c r="D3" s="28" t="n">
        <f aca="false">-'UTCL-CCF valuation'!D5*(1-'UTCL-Cost of Capital'!$B$13)</f>
        <v>-706.944681680246</v>
      </c>
      <c r="E3" s="28" t="n">
        <f aca="false">-'UTCL-CCF valuation'!E5*(1-'UTCL-Cost of Capital'!$B$13)</f>
        <v>-753.609684578687</v>
      </c>
      <c r="F3" s="28" t="n">
        <f aca="false">-'UTCL-CCF valuation'!F5*(1-'UTCL-Cost of Capital'!$B$13)</f>
        <v>-797.072799361542</v>
      </c>
      <c r="G3" s="28" t="n">
        <f aca="false">-'UTCL-CCF valuation'!G5*(1-'UTCL-Cost of Capital'!$B$13)</f>
        <v>-837.971970106441</v>
      </c>
    </row>
    <row r="4" customFormat="false" ht="15" hidden="false" customHeight="true" outlineLevel="0" collapsed="false">
      <c r="A4" s="5" t="s">
        <v>689</v>
      </c>
      <c r="B4" s="23" t="s">
        <v>200</v>
      </c>
      <c r="C4" s="28" t="n">
        <f aca="false">'UTCL-CCF valuation'!C2*'UTCL-Cost of Capital'!$B$14-'UTCL-CCF valuation'!C4</f>
        <v>913.102336414549</v>
      </c>
      <c r="D4" s="28" t="n">
        <f aca="false">'UTCL-CCF valuation'!D2*'UTCL-Cost of Capital'!$B$14-'UTCL-CCF valuation'!D4</f>
        <v>747.718100350388</v>
      </c>
      <c r="E4" s="28" t="n">
        <f aca="false">'UTCL-CCF valuation'!E2*'UTCL-Cost of Capital'!$B$14-'UTCL-CCF valuation'!E4</f>
        <v>696.413920545017</v>
      </c>
      <c r="F4" s="28" t="n">
        <f aca="false">'UTCL-CCF valuation'!F2*'UTCL-Cost of Capital'!$B$14-'UTCL-CCF valuation'!F4</f>
        <v>655.331583753192</v>
      </c>
      <c r="G4" s="28" t="n">
        <f aca="false">'UTCL-CCF valuation'!G2*'UTCL-Cost of Capital'!$B$14-'UTCL-CCF valuation'!G4</f>
        <v>653.773928723651</v>
      </c>
    </row>
    <row r="5" customFormat="false" ht="15" hidden="false" customHeight="true" outlineLevel="0" collapsed="false">
      <c r="A5" s="6" t="s">
        <v>23</v>
      </c>
      <c r="B5" s="23" t="s">
        <v>200</v>
      </c>
      <c r="C5" s="38" t="n">
        <f aca="false">SUM(C2:C4)</f>
        <v>4657.57426204686</v>
      </c>
      <c r="D5" s="38" t="n">
        <f aca="false">SUM(D2:D4)</f>
        <v>8860.63717841437</v>
      </c>
      <c r="E5" s="38" t="n">
        <f aca="false">SUM(E2:E4)</f>
        <v>11001.7995518111</v>
      </c>
      <c r="F5" s="38" t="n">
        <f aca="false">SUM(F2:F4)</f>
        <v>12892.4358748244</v>
      </c>
      <c r="G5" s="38" t="n">
        <f aca="false">SUM(G2:G4)</f>
        <v>14097.9333499378</v>
      </c>
    </row>
    <row r="6" customFormat="false" ht="15" hidden="false" customHeight="true" outlineLevel="0" collapsed="false">
      <c r="A6" s="5" t="s">
        <v>690</v>
      </c>
      <c r="B6" s="23" t="s">
        <v>200</v>
      </c>
      <c r="C6" s="82" t="n">
        <f aca="false">1/(1+'UTCL-Cost of Capital'!$B$11)^1</f>
        <v>0.895572501959208</v>
      </c>
      <c r="D6" s="82" t="n">
        <f aca="false">1/(1+'UTCL-Cost of Capital'!$B$11)^2</f>
        <v>0.802050106265476</v>
      </c>
      <c r="E6" s="82" t="n">
        <f aca="false">1/(1+'UTCL-Cost of Capital'!$B$11)^3</f>
        <v>0.718294020364822</v>
      </c>
      <c r="F6" s="82" t="n">
        <f aca="false">1/(1+'UTCL-Cost of Capital'!$B$11)^4</f>
        <v>0.643284372960462</v>
      </c>
      <c r="G6" s="82" t="n">
        <f aca="false">1/(1+'UTCL-Cost of Capital'!$B$11)^5</f>
        <v>0.576107795363461</v>
      </c>
    </row>
    <row r="7" customFormat="false" ht="15" hidden="false" customHeight="true" outlineLevel="0" collapsed="false">
      <c r="A7" s="6" t="s">
        <v>691</v>
      </c>
      <c r="B7" s="23" t="s">
        <v>200</v>
      </c>
      <c r="C7" s="38" t="n">
        <f aca="false">C5*C6</f>
        <v>4171.19543492212</v>
      </c>
      <c r="D7" s="38" t="n">
        <f aca="false">D5*D6</f>
        <v>7106.67499052707</v>
      </c>
      <c r="E7" s="38" t="n">
        <f aca="false">E5*E6</f>
        <v>7902.52683131828</v>
      </c>
      <c r="F7" s="38" t="n">
        <f aca="false">F5*F6</f>
        <v>8293.50252766939</v>
      </c>
      <c r="G7" s="38" t="n">
        <f aca="false">G5*G6</f>
        <v>8121.9293014137</v>
      </c>
    </row>
    <row r="9" customFormat="false" ht="15" hidden="false" customHeight="true" outlineLevel="0" collapsed="false">
      <c r="A9" s="5" t="s">
        <v>692</v>
      </c>
      <c r="C9" s="28" t="n">
        <f aca="false">SUM(C7:G7)</f>
        <v>35595.8290858506</v>
      </c>
    </row>
    <row r="10" customFormat="false" ht="15" hidden="false" customHeight="true" outlineLevel="0" collapsed="false">
      <c r="A10" s="5" t="s">
        <v>693</v>
      </c>
      <c r="C10" s="28" t="n">
        <f aca="false">'UTCL-FCFF valuation'!C7*(1-'UTCL-Cost of Capital'!$B$14)</f>
        <v>217696.31138104</v>
      </c>
    </row>
    <row r="11" customFormat="false" ht="15" hidden="false" customHeight="true" outlineLevel="0" collapsed="false">
      <c r="A11" s="5" t="s">
        <v>694</v>
      </c>
      <c r="C11" s="28" t="n">
        <f aca="false">C10*G6</f>
        <v>125416.542008489</v>
      </c>
    </row>
    <row r="12" customFormat="false" ht="15" hidden="false" customHeight="true" outlineLevel="0" collapsed="false">
      <c r="A12" s="6" t="s">
        <v>695</v>
      </c>
      <c r="C12" s="38" t="n">
        <f aca="false">C9+C11</f>
        <v>161012.371094339</v>
      </c>
    </row>
    <row r="13" customFormat="false" ht="15" hidden="false" customHeight="true" outlineLevel="0" collapsed="false">
      <c r="A13" s="5" t="s">
        <v>650</v>
      </c>
      <c r="C13" s="28" t="n">
        <f aca="false">'UTCL-Assumptions'!$B$39</f>
        <v>1384.35</v>
      </c>
    </row>
    <row r="14" customFormat="false" ht="15" hidden="false" customHeight="true" outlineLevel="0" collapsed="false">
      <c r="A14" s="5" t="s">
        <v>651</v>
      </c>
      <c r="C14" s="28" t="n">
        <f aca="false">'UTCL-Assumptions'!$B$45</f>
        <v>6739.51</v>
      </c>
    </row>
    <row r="15" customFormat="false" ht="15" hidden="false" customHeight="true" outlineLevel="0" collapsed="false">
      <c r="A15" s="5" t="s">
        <v>696</v>
      </c>
      <c r="C15" s="28" t="n">
        <f aca="false">-('UTCL-Assumptions'!$B$46+'UTCL-Assumptions'!$B$47-'UTCL-CCF valuation'!C4)</f>
        <v>-13340.7456074564</v>
      </c>
    </row>
    <row r="16" customFormat="false" ht="15" hidden="false" customHeight="true" outlineLevel="0" collapsed="false">
      <c r="A16" s="6" t="s">
        <v>271</v>
      </c>
      <c r="C16" s="35" t="n">
        <f aca="false">SUM(C12:C15)-'UTCL-Assumptions'!$B$58</f>
        <v>151706.585486883</v>
      </c>
    </row>
    <row r="17" customFormat="false" ht="15" hidden="false" customHeight="true" outlineLevel="0" collapsed="false">
      <c r="A17" s="6" t="s">
        <v>654</v>
      </c>
      <c r="C17" s="36" t="n">
        <f aca="false">C16/'UTCL-Assumptions'!$B$5</f>
        <v>5148.18058527498</v>
      </c>
    </row>
    <row r="19" customFormat="false" ht="45" hidden="false" customHeight="true" outlineLevel="0" collapsed="false">
      <c r="A19" s="16" t="s">
        <v>697</v>
      </c>
      <c r="B19" s="16"/>
      <c r="C19" s="16"/>
      <c r="D19" s="16"/>
      <c r="E19" s="16"/>
      <c r="F19" s="16"/>
      <c r="G19" s="16"/>
    </row>
  </sheetData>
  <mergeCells count="1">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8" min="3" style="1" width="14"/>
  </cols>
  <sheetData>
    <row r="1" customFormat="false" ht="15" hidden="false" customHeight="true" outlineLevel="0" collapsed="false">
      <c r="A1" s="4" t="s">
        <v>235</v>
      </c>
      <c r="B1" s="4" t="s">
        <v>186</v>
      </c>
      <c r="C1" s="4" t="s">
        <v>442</v>
      </c>
      <c r="D1" s="4" t="s">
        <v>443</v>
      </c>
      <c r="E1" s="4" t="s">
        <v>444</v>
      </c>
      <c r="F1" s="4" t="s">
        <v>445</v>
      </c>
      <c r="G1" s="4" t="s">
        <v>446</v>
      </c>
      <c r="H1" s="4" t="s">
        <v>643</v>
      </c>
    </row>
    <row r="2" customFormat="false" ht="15" hidden="false" customHeight="true" outlineLevel="0" collapsed="false">
      <c r="A2" s="5" t="s">
        <v>467</v>
      </c>
      <c r="B2" s="23" t="s">
        <v>200</v>
      </c>
      <c r="C2" s="28" t="n">
        <f aca="false">'UTCL-Balance Sheet'!C8</f>
        <v>11013.6418415333</v>
      </c>
      <c r="D2" s="28" t="n">
        <f aca="false">'UTCL-Balance Sheet'!D8</f>
        <v>12704.1657318011</v>
      </c>
      <c r="E2" s="28" t="n">
        <f aca="false">'UTCL-Balance Sheet'!E8</f>
        <v>14250.2331168466</v>
      </c>
      <c r="F2" s="28" t="n">
        <f aca="false">'UTCL-Balance Sheet'!F8</f>
        <v>15594.9589187694</v>
      </c>
      <c r="G2" s="28" t="n">
        <f aca="false">'UTCL-Balance Sheet'!G8</f>
        <v>16748.2780894379</v>
      </c>
      <c r="H2" s="81" t="n">
        <f aca="false">'UTCL-Balance Sheet'!C14</f>
        <v>17919.6526590132</v>
      </c>
    </row>
    <row r="3" customFormat="false" ht="15" hidden="false" customHeight="true" outlineLevel="0" collapsed="false">
      <c r="A3" s="5" t="s">
        <v>462</v>
      </c>
      <c r="B3" s="23" t="s">
        <v>200</v>
      </c>
      <c r="C3" s="28" t="n">
        <f aca="false">'UTCL-Balance Sheet'!C2</f>
        <v>93761.33</v>
      </c>
      <c r="D3" s="28" t="n">
        <f aca="false">'UTCL-Balance Sheet'!D2</f>
        <v>100380.541848769</v>
      </c>
      <c r="E3" s="28" t="n">
        <f aca="false">'UTCL-Balance Sheet'!E2</f>
        <v>104264.843820826</v>
      </c>
      <c r="F3" s="28" t="n">
        <f aca="false">'UTCL-Balance Sheet'!F2</f>
        <v>107456.081621828</v>
      </c>
      <c r="G3" s="28" t="n">
        <f aca="false">'UTCL-Balance Sheet'!G2</f>
        <v>110016.863450164</v>
      </c>
      <c r="H3" s="81" t="n">
        <f aca="false">IF('UTCL-Assumptions'!$B$65=1,'UTCL-Balance Sheet'!C32,'UTCL-Balance Sheet'!C15)</f>
        <v>112483.010148282</v>
      </c>
    </row>
    <row r="4" customFormat="false" ht="15" hidden="false" customHeight="true" outlineLevel="0" collapsed="false">
      <c r="A4" s="5" t="s">
        <v>698</v>
      </c>
      <c r="B4" s="23" t="s">
        <v>200</v>
      </c>
      <c r="C4" s="28" t="n">
        <f aca="false">C3*'UTCL-Cost of Capital'!$B$16</f>
        <v>10624.2672691426</v>
      </c>
      <c r="D4" s="28" t="n">
        <f aca="false">D3*'UTCL-Cost of Capital'!$B$16</f>
        <v>11374.3022333693</v>
      </c>
      <c r="E4" s="28" t="n">
        <f aca="false">E3*'UTCL-Cost of Capital'!$B$16</f>
        <v>11814.4395725601</v>
      </c>
      <c r="F4" s="28" t="n">
        <f aca="false">F3*'UTCL-Cost of Capital'!$B$16</f>
        <v>12176.0445467774</v>
      </c>
      <c r="G4" s="28" t="n">
        <f aca="false">G3*'UTCL-Cost of Capital'!$B$16</f>
        <v>12466.2114051423</v>
      </c>
      <c r="H4" s="81" t="n">
        <f aca="false">H3*'UTCL-Cost of Capital'!$B$16</f>
        <v>12745.6549843419</v>
      </c>
    </row>
    <row r="5" customFormat="false" ht="15" hidden="false" customHeight="true" outlineLevel="0" collapsed="false">
      <c r="A5" s="6" t="s">
        <v>699</v>
      </c>
      <c r="B5" s="23" t="s">
        <v>200</v>
      </c>
      <c r="C5" s="38" t="n">
        <f aca="false">C2-C4</f>
        <v>389.374572390658</v>
      </c>
      <c r="D5" s="38" t="n">
        <f aca="false">D2-D4</f>
        <v>1329.86349843185</v>
      </c>
      <c r="E5" s="38" t="n">
        <f aca="false">E2-E4</f>
        <v>2435.79354428648</v>
      </c>
      <c r="F5" s="38" t="n">
        <f aca="false">F2-F4</f>
        <v>3418.91437199193</v>
      </c>
      <c r="G5" s="38" t="n">
        <f aca="false">G2-G4</f>
        <v>4282.06668429562</v>
      </c>
      <c r="H5" s="81" t="n">
        <f aca="false">H2-H4</f>
        <v>5173.99767467134</v>
      </c>
    </row>
    <row r="6" customFormat="false" ht="15" hidden="false" customHeight="true" outlineLevel="0" collapsed="false">
      <c r="A6" s="5" t="s">
        <v>644</v>
      </c>
      <c r="B6" s="23" t="s">
        <v>200</v>
      </c>
      <c r="C6" s="82" t="n">
        <f aca="false">1/(1+'UTCL-Cost of Capital'!$B$16)^1</f>
        <v>0.898220946691051</v>
      </c>
      <c r="D6" s="82" t="n">
        <f aca="false">1/(1+'UTCL-Cost of Capital'!$B$16)^2</f>
        <v>0.806800869074567</v>
      </c>
      <c r="E6" s="82" t="n">
        <f aca="false">1/(1+'UTCL-Cost of Capital'!$B$16)^3</f>
        <v>0.72468544041132</v>
      </c>
      <c r="F6" s="82" t="n">
        <f aca="false">1/(1+'UTCL-Cost of Capital'!$B$16)^4</f>
        <v>0.650927642339476</v>
      </c>
      <c r="G6" s="82" t="n">
        <f aca="false">1/(1+'UTCL-Cost of Capital'!$B$16)^5</f>
        <v>0.584676843129538</v>
      </c>
    </row>
    <row r="7" customFormat="false" ht="15" hidden="false" customHeight="true" outlineLevel="0" collapsed="false">
      <c r="A7" s="6" t="s">
        <v>700</v>
      </c>
      <c r="B7" s="23" t="s">
        <v>200</v>
      </c>
      <c r="C7" s="38" t="n">
        <f aca="false">C5*C6</f>
        <v>349.74439703016</v>
      </c>
      <c r="D7" s="38" t="n">
        <f aca="false">D5*D6</f>
        <v>1072.93502628536</v>
      </c>
      <c r="E7" s="38" t="n">
        <f aca="false">E5*E6</f>
        <v>1765.18411739229</v>
      </c>
      <c r="F7" s="38" t="n">
        <f aca="false">F5*F6</f>
        <v>2225.46587152126</v>
      </c>
      <c r="G7" s="38" t="n">
        <f aca="false">G5*G6</f>
        <v>2503.62523104413</v>
      </c>
    </row>
    <row r="9" customFormat="false" ht="15" hidden="false" customHeight="true" outlineLevel="0" collapsed="false">
      <c r="A9" s="5" t="s">
        <v>701</v>
      </c>
      <c r="C9" s="28" t="n">
        <f aca="false">C3</f>
        <v>93761.33</v>
      </c>
    </row>
    <row r="10" customFormat="false" ht="15" hidden="false" customHeight="true" outlineLevel="0" collapsed="false">
      <c r="A10" s="5" t="s">
        <v>702</v>
      </c>
      <c r="C10" s="28" t="n">
        <f aca="false">SUM(C7:G7)</f>
        <v>7916.95464327321</v>
      </c>
    </row>
    <row r="11" customFormat="false" ht="15" hidden="false" customHeight="true" outlineLevel="0" collapsed="false">
      <c r="A11" s="5" t="s">
        <v>703</v>
      </c>
      <c r="C11" s="28" t="n">
        <f aca="false">H5/('UTCL-Cost of Capital'!$B$16-'UTCL-Assumptions'!$B$35)</f>
        <v>119293.985495089</v>
      </c>
    </row>
    <row r="12" customFormat="false" ht="15" hidden="false" customHeight="true" outlineLevel="0" collapsed="false">
      <c r="A12" s="5" t="s">
        <v>704</v>
      </c>
      <c r="C12" s="28" t="n">
        <f aca="false">C11*G6</f>
        <v>69748.4308436097</v>
      </c>
    </row>
    <row r="13" customFormat="false" ht="15" hidden="false" customHeight="true" outlineLevel="0" collapsed="false">
      <c r="A13" s="6" t="s">
        <v>649</v>
      </c>
      <c r="C13" s="35" t="n">
        <f aca="false">C9+C10+C12</f>
        <v>171426.715486883</v>
      </c>
    </row>
    <row r="14" customFormat="false" ht="15" hidden="false" customHeight="true" outlineLevel="0" collapsed="false">
      <c r="A14" s="6" t="s">
        <v>271</v>
      </c>
      <c r="C14" s="35" t="n">
        <f aca="false">C13+'UTCL-Assumptions'!$B$39+'UTCL-Assumptions'!$B$45-'UTCL-Assumptions'!$B$46-'UTCL-Assumptions'!$B$47-'UTCL-Assumptions'!$B$58</f>
        <v>151706.585486883</v>
      </c>
    </row>
    <row r="15" customFormat="false" ht="15" hidden="false" customHeight="true" outlineLevel="0" collapsed="false">
      <c r="A15" s="6" t="s">
        <v>654</v>
      </c>
      <c r="C15" s="36" t="n">
        <f aca="false">C14/'UTCL-Assumptions'!$B$5</f>
        <v>5148.18058527497</v>
      </c>
    </row>
    <row r="17" customFormat="false" ht="30" hidden="false" customHeight="true" outlineLevel="0" collapsed="false">
      <c r="A17" s="16" t="s">
        <v>705</v>
      </c>
      <c r="B17" s="16"/>
      <c r="C17" s="16"/>
      <c r="D17" s="16"/>
      <c r="E17" s="16"/>
      <c r="F17" s="16"/>
      <c r="G17" s="16"/>
      <c r="H17" s="16"/>
    </row>
  </sheetData>
  <mergeCells count="1">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0"/>
  </cols>
  <sheetData>
    <row r="1" customFormat="false" ht="15.75" hidden="false" customHeight="true" outlineLevel="0" collapsed="false">
      <c r="A1" s="29" t="s">
        <v>706</v>
      </c>
    </row>
    <row r="2" customFormat="false" ht="15" hidden="false" customHeight="true" outlineLevel="0" collapsed="false">
      <c r="A2" s="3" t="s">
        <v>707</v>
      </c>
    </row>
    <row r="4" customFormat="false" ht="15" hidden="false" customHeight="true" outlineLevel="0" collapsed="false">
      <c r="A4" s="4" t="s">
        <v>708</v>
      </c>
      <c r="B4" s="4" t="s">
        <v>709</v>
      </c>
      <c r="C4" s="4" t="s">
        <v>710</v>
      </c>
      <c r="D4" s="4" t="s">
        <v>272</v>
      </c>
      <c r="E4" s="4" t="s">
        <v>711</v>
      </c>
    </row>
    <row r="5" customFormat="false" ht="15" hidden="false" customHeight="true" outlineLevel="0" collapsed="false">
      <c r="A5" s="6" t="s">
        <v>17</v>
      </c>
      <c r="B5" s="5" t="s">
        <v>712</v>
      </c>
      <c r="C5" s="34" t="n">
        <f aca="false">'UTCL-FCFF valuation'!C9</f>
        <v>171426.715486883</v>
      </c>
      <c r="D5" s="85" t="n">
        <f aca="false">'UTCL-FCFF valuation'!C15</f>
        <v>5148.18058527498</v>
      </c>
      <c r="E5" s="82" t="n">
        <f aca="false">IFERROR(D5-D5,"")</f>
        <v>0</v>
      </c>
    </row>
    <row r="6" customFormat="false" ht="15" hidden="false" customHeight="true" outlineLevel="0" collapsed="false">
      <c r="A6" s="6" t="s">
        <v>19</v>
      </c>
      <c r="B6" s="5" t="s">
        <v>713</v>
      </c>
      <c r="C6" s="34" t="n">
        <f aca="false">'UTCL-CCF valuation'!C14</f>
        <v>171426.715486883</v>
      </c>
      <c r="D6" s="85" t="n">
        <f aca="false">'UTCL-CCF valuation'!C16</f>
        <v>5148.18058527497</v>
      </c>
      <c r="E6" s="82" t="n">
        <f aca="false">IFERROR(D6-D5,"")</f>
        <v>0</v>
      </c>
    </row>
    <row r="7" customFormat="false" ht="15" hidden="false" customHeight="true" outlineLevel="0" collapsed="false">
      <c r="A7" s="6" t="s">
        <v>21</v>
      </c>
      <c r="B7" s="5" t="s">
        <v>713</v>
      </c>
      <c r="C7" s="34" t="n">
        <f aca="false">'UTCL-APV valuation'!C14</f>
        <v>171426.715486883</v>
      </c>
      <c r="D7" s="85" t="n">
        <f aca="false">'UTCL-APV valuation'!C16</f>
        <v>5148.18058527497</v>
      </c>
      <c r="E7" s="82" t="n">
        <f aca="false">IFERROR(D7-D5,"")</f>
        <v>0</v>
      </c>
    </row>
    <row r="8" customFormat="false" ht="15" hidden="false" customHeight="true" outlineLevel="0" collapsed="false">
      <c r="A8" s="6" t="s">
        <v>25</v>
      </c>
      <c r="B8" s="5" t="s">
        <v>712</v>
      </c>
      <c r="C8" s="34" t="n">
        <f aca="false">'UTCL-EVA'!C13</f>
        <v>171426.715486883</v>
      </c>
      <c r="D8" s="85" t="n">
        <f aca="false">'UTCL-EVA'!C15</f>
        <v>5148.18058527497</v>
      </c>
      <c r="E8" s="82" t="n">
        <f aca="false">IFERROR(D8-D5,"")</f>
        <v>0</v>
      </c>
    </row>
    <row r="9" customFormat="false" ht="15" hidden="false" customHeight="true" outlineLevel="0" collapsed="false">
      <c r="A9" s="6" t="s">
        <v>23</v>
      </c>
      <c r="B9" s="5" t="s">
        <v>714</v>
      </c>
      <c r="C9" s="3" t="s">
        <v>715</v>
      </c>
      <c r="D9" s="85" t="n">
        <f aca="false">'UTCL-FCFE valuation'!C17</f>
        <v>5148.18058527498</v>
      </c>
      <c r="E9" s="82" t="n">
        <f aca="false">IFERROR(D9-D5,"")</f>
        <v>0</v>
      </c>
    </row>
    <row r="11" customFormat="false" ht="15" hidden="false" customHeight="true" outlineLevel="0" collapsed="false">
      <c r="A11" s="6" t="s">
        <v>716</v>
      </c>
      <c r="D11" s="86" t="n">
        <f aca="false">MAX(ABS(E5),ABS(E6),ABS(E7),ABS(E8),ABS(E9))</f>
        <v>0</v>
      </c>
    </row>
    <row r="12" customFormat="false" ht="15" hidden="false" customHeight="true" outlineLevel="0" collapsed="false">
      <c r="A12" s="6" t="s">
        <v>717</v>
      </c>
      <c r="D12" s="21" t="str">
        <f aca="false">IF(D11&lt;0.01,"RECONCILED","DOES NOT RECONCILE")</f>
        <v>RECONCILED</v>
      </c>
    </row>
    <row r="14" customFormat="false" ht="30" hidden="false" customHeight="true" outlineLevel="0" collapsed="false">
      <c r="A14" s="16" t="s">
        <v>718</v>
      </c>
      <c r="B14" s="16"/>
      <c r="C14" s="16"/>
      <c r="D14" s="16"/>
      <c r="E14" s="16"/>
    </row>
  </sheetData>
  <mergeCells count="1">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3" min="2" style="1" width="16"/>
    <col collapsed="false" customWidth="true" hidden="false" outlineLevel="0" max="4" min="4" style="1" width="58"/>
  </cols>
  <sheetData>
    <row r="1" customFormat="false" ht="15.75" hidden="false" customHeight="true" outlineLevel="0" collapsed="false">
      <c r="A1" s="29" t="s">
        <v>719</v>
      </c>
    </row>
    <row r="3" customFormat="false" ht="15" hidden="false" customHeight="true" outlineLevel="0" collapsed="false">
      <c r="A3" s="26" t="s">
        <v>720</v>
      </c>
      <c r="B3" s="26"/>
      <c r="C3" s="26"/>
      <c r="D3" s="26"/>
    </row>
    <row r="4" customFormat="false" ht="15" hidden="false" customHeight="true" outlineLevel="0" collapsed="false">
      <c r="A4" s="6" t="s">
        <v>389</v>
      </c>
      <c r="B4" s="87" t="n">
        <f aca="false">'UTCL-Assumptions'!B31</f>
        <v>0.065</v>
      </c>
      <c r="D4" s="31" t="s">
        <v>721</v>
      </c>
    </row>
    <row r="5" customFormat="false" ht="15" hidden="false" customHeight="true" outlineLevel="0" collapsed="false">
      <c r="A5" s="6" t="s">
        <v>391</v>
      </c>
      <c r="B5" s="87" t="n">
        <f aca="false">'UTCL-Assumptions'!B32</f>
        <v>0.04</v>
      </c>
      <c r="D5" s="31" t="s">
        <v>722</v>
      </c>
    </row>
    <row r="6" customFormat="false" ht="15" hidden="false" customHeight="true" outlineLevel="0" collapsed="false">
      <c r="A6" s="6" t="s">
        <v>723</v>
      </c>
      <c r="B6" s="87" t="n">
        <f aca="false">'UTCL-Assumptions'!B33</f>
        <v>0.1076</v>
      </c>
      <c r="D6" s="31" t="s">
        <v>724</v>
      </c>
    </row>
    <row r="7" customFormat="false" ht="15" hidden="false" customHeight="true" outlineLevel="0" collapsed="false">
      <c r="A7" s="6" t="s">
        <v>725</v>
      </c>
      <c r="B7" s="87" t="n">
        <f aca="false">'UTCL-Assumptions'!B34</f>
        <v>0.65</v>
      </c>
      <c r="D7" s="31" t="s">
        <v>726</v>
      </c>
    </row>
    <row r="8" customFormat="false" ht="15" hidden="false" customHeight="true" outlineLevel="0" collapsed="false">
      <c r="A8" s="6" t="s">
        <v>397</v>
      </c>
      <c r="B8" s="87" t="n">
        <f aca="false">'UTCL-Assumptions'!B35</f>
        <v>0.06994</v>
      </c>
      <c r="D8" s="31" t="s">
        <v>727</v>
      </c>
    </row>
    <row r="10" customFormat="false" ht="15" hidden="false" customHeight="true" outlineLevel="0" collapsed="false">
      <c r="A10" s="26" t="s">
        <v>728</v>
      </c>
      <c r="B10" s="26"/>
      <c r="C10" s="26"/>
      <c r="D10" s="26"/>
    </row>
    <row r="11" customFormat="false" ht="15" hidden="false" customHeight="true" outlineLevel="0" collapsed="false">
      <c r="A11" s="6" t="s">
        <v>471</v>
      </c>
      <c r="B11" s="34" t="n">
        <f aca="false">'UTCL-Balance Sheet'!C14</f>
        <v>17919.6526590132</v>
      </c>
    </row>
    <row r="12" customFormat="false" ht="15" hidden="false" customHeight="true" outlineLevel="0" collapsed="false">
      <c r="A12" s="6" t="s">
        <v>466</v>
      </c>
      <c r="B12" s="34" t="n">
        <f aca="false">'UTCL-Balance Sheet'!C15</f>
        <v>112483.010148282</v>
      </c>
    </row>
    <row r="13" customFormat="false" ht="15" hidden="false" customHeight="true" outlineLevel="0" collapsed="false">
      <c r="A13" s="6" t="s">
        <v>473</v>
      </c>
      <c r="B13" s="34" t="n">
        <f aca="false">'UTCL-Balance Sheet'!C16</f>
        <v>7867.0617297708</v>
      </c>
    </row>
    <row r="14" customFormat="false" ht="15" hidden="false" customHeight="true" outlineLevel="0" collapsed="false">
      <c r="A14" s="6" t="s">
        <v>474</v>
      </c>
      <c r="B14" s="34" t="n">
        <f aca="false">'UTCL-Balance Sheet'!C17</f>
        <v>10052.5909292424</v>
      </c>
    </row>
    <row r="15" customFormat="false" ht="15" hidden="false" customHeight="true" outlineLevel="0" collapsed="false">
      <c r="A15" s="6" t="s">
        <v>475</v>
      </c>
      <c r="B15" s="43" t="n">
        <f aca="false">'UTCL-Balance Sheet'!C18</f>
        <v>0.159309860532631</v>
      </c>
    </row>
    <row r="16" customFormat="false" ht="15" hidden="false" customHeight="true" outlineLevel="0" collapsed="false">
      <c r="A16" s="6" t="s">
        <v>729</v>
      </c>
      <c r="B16" s="43" t="n">
        <f aca="false">'UTCL-Balance Sheet'!C19</f>
        <v>0.43901865061061</v>
      </c>
    </row>
    <row r="17" customFormat="false" ht="15" hidden="false" customHeight="true" outlineLevel="0" collapsed="false">
      <c r="A17" s="6" t="s">
        <v>730</v>
      </c>
      <c r="B17" s="34" t="n">
        <f aca="false">'UTCL-FCFF valuation'!C7</f>
        <v>231776.995643371</v>
      </c>
    </row>
    <row r="19" customFormat="false" ht="15" hidden="false" customHeight="true" outlineLevel="0" collapsed="false">
      <c r="A19" s="26" t="s">
        <v>731</v>
      </c>
      <c r="B19" s="26"/>
      <c r="C19" s="26"/>
      <c r="D19" s="26"/>
    </row>
    <row r="20" customFormat="false" ht="15" hidden="false" customHeight="true" outlineLevel="0" collapsed="false">
      <c r="A20" s="6" t="s">
        <v>732</v>
      </c>
      <c r="B20" s="88" t="n">
        <f aca="false">'UTCL-FCFF valuation'!C17</f>
        <v>7.68871951752449</v>
      </c>
    </row>
    <row r="21" customFormat="false" ht="15" hidden="false" customHeight="true" outlineLevel="0" collapsed="false">
      <c r="A21" s="6" t="s">
        <v>733</v>
      </c>
      <c r="B21" s="89" t="n">
        <v>19.05</v>
      </c>
    </row>
    <row r="22" customFormat="false" ht="15" hidden="false" customHeight="true" outlineLevel="0" collapsed="false">
      <c r="A22" s="6" t="s">
        <v>734</v>
      </c>
      <c r="B22" s="61" t="n">
        <v>0.0978</v>
      </c>
    </row>
    <row r="24" customFormat="false" ht="75" hidden="false" customHeight="true" outlineLevel="0" collapsed="false">
      <c r="A24" s="33" t="s">
        <v>735</v>
      </c>
      <c r="B24" s="33"/>
      <c r="C24" s="33"/>
      <c r="D24" s="33"/>
    </row>
    <row r="27" customFormat="false" ht="15" hidden="false" customHeight="true" outlineLevel="0" collapsed="false">
      <c r="A27" s="8" t="s">
        <v>736</v>
      </c>
      <c r="B27" s="8"/>
      <c r="C27" s="8"/>
      <c r="D27" s="8"/>
    </row>
    <row r="28" customFormat="false" ht="60" hidden="false" customHeight="true" outlineLevel="0" collapsed="false">
      <c r="A28" s="16" t="s">
        <v>737</v>
      </c>
      <c r="B28" s="16"/>
      <c r="C28" s="16"/>
      <c r="D28" s="16"/>
    </row>
    <row r="31" customFormat="false" ht="15" hidden="false" customHeight="true" outlineLevel="0" collapsed="false">
      <c r="A31" s="6" t="s">
        <v>738</v>
      </c>
      <c r="B31" s="79" t="n">
        <f aca="false">'UTCL-Balance Sheet'!C14/('UTCL-P&amp;L'!G15*(1+'UTCL-Assumptions'!$B$35))</f>
        <v>0.594447187324025</v>
      </c>
    </row>
    <row r="32" customFormat="false" ht="15" hidden="false" customHeight="true" outlineLevel="0" collapsed="false">
      <c r="A32" s="6" t="s">
        <v>739</v>
      </c>
      <c r="B32" s="40" t="n">
        <f aca="false">'UTCL-Balance Sheet'!C31</f>
        <v>0.118311823425954</v>
      </c>
    </row>
    <row r="33" customFormat="false" ht="15" hidden="false" customHeight="true" outlineLevel="0" collapsed="false">
      <c r="A33" s="6" t="s">
        <v>740</v>
      </c>
      <c r="B33" s="40" t="n">
        <f aca="false">'UTCL-Assumptions'!$B$35</f>
        <v>0.06994</v>
      </c>
    </row>
    <row r="34" customFormat="false" ht="15" hidden="false" customHeight="true" outlineLevel="0" collapsed="false">
      <c r="A34" s="6" t="s">
        <v>741</v>
      </c>
      <c r="B34" s="37" t="n">
        <f aca="false">B33/B32</f>
        <v>0.591149709088646</v>
      </c>
    </row>
    <row r="35" customFormat="false" ht="15" hidden="false" customHeight="true" outlineLevel="0" collapsed="false">
      <c r="A35" s="6" t="s">
        <v>712</v>
      </c>
      <c r="B35" s="40" t="n">
        <f aca="false">'UTCL-Cost of Capital'!$B$16</f>
        <v>0.113311823425954</v>
      </c>
    </row>
    <row r="36" customFormat="false" ht="15" hidden="false" customHeight="true" outlineLevel="0" collapsed="false">
      <c r="A36" s="6" t="s">
        <v>742</v>
      </c>
      <c r="B36" s="88" t="n">
        <f aca="false">B31*(1-B34)/(B35-B33)</f>
        <v>5.60363586935168</v>
      </c>
    </row>
    <row r="37" customFormat="false" ht="15" hidden="false" customHeight="true" outlineLevel="0" collapsed="false">
      <c r="A37" s="6" t="s">
        <v>743</v>
      </c>
      <c r="B37" s="88" t="n">
        <f aca="false">'UTCL-FCFF valuation'!C17</f>
        <v>7.68871951752449</v>
      </c>
    </row>
    <row r="38" customFormat="false" ht="15" hidden="false" customHeight="true" outlineLevel="0" collapsed="false">
      <c r="A38" s="6" t="s">
        <v>744</v>
      </c>
      <c r="B38" s="79" t="n">
        <f aca="false">B36-B37</f>
        <v>-2.08508364817281</v>
      </c>
    </row>
    <row r="39" customFormat="false" ht="15" hidden="false" customHeight="true" outlineLevel="0" collapsed="false">
      <c r="A39" s="6" t="s">
        <v>745</v>
      </c>
      <c r="B39" s="90" t="str">
        <f aca="false">IF(ABS(B38)&lt;0.25,"PASS: the multiple is consistent with our own fundamentals","REVIEW")</f>
        <v>REVIEW</v>
      </c>
    </row>
    <row r="41" customFormat="false" ht="60" hidden="false" customHeight="true" outlineLevel="0" collapsed="false">
      <c r="A41" s="33" t="s">
        <v>746</v>
      </c>
      <c r="B41" s="33"/>
      <c r="C41" s="33"/>
      <c r="D41" s="33"/>
    </row>
  </sheetData>
  <mergeCells count="7">
    <mergeCell ref="A3:D3"/>
    <mergeCell ref="A10:D10"/>
    <mergeCell ref="A19:D19"/>
    <mergeCell ref="A24:D24"/>
    <mergeCell ref="A27:D27"/>
    <mergeCell ref="A28:D28"/>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4"/>
  </cols>
  <sheetData>
    <row r="1" customFormat="false" ht="15.75" hidden="false" customHeight="true" outlineLevel="0" collapsed="false">
      <c r="A1" s="29" t="s">
        <v>29</v>
      </c>
    </row>
    <row r="3" customFormat="false" ht="15" hidden="false" customHeight="true" outlineLevel="0" collapsed="false">
      <c r="A3" s="8" t="s">
        <v>747</v>
      </c>
      <c r="B3" s="8"/>
      <c r="C3" s="8"/>
      <c r="D3" s="8"/>
      <c r="E3" s="8"/>
      <c r="F3" s="8"/>
      <c r="G3" s="8"/>
      <c r="H3" s="8"/>
    </row>
    <row r="4" customFormat="false" ht="26.25" hidden="false" customHeight="true" outlineLevel="0" collapsed="false">
      <c r="A4" s="4" t="s">
        <v>162</v>
      </c>
      <c r="B4" s="4" t="s">
        <v>748</v>
      </c>
      <c r="C4" s="4" t="s">
        <v>712</v>
      </c>
      <c r="D4" s="4"/>
      <c r="E4" s="4"/>
      <c r="F4" s="4"/>
      <c r="G4" s="4"/>
      <c r="H4" s="4"/>
    </row>
    <row r="5" customFormat="false" ht="15" hidden="false" customHeight="true" outlineLevel="0" collapsed="false">
      <c r="A5" s="52" t="n">
        <v>0.6</v>
      </c>
      <c r="B5" s="91" t="n">
        <f aca="false">'UTCL-Cost of Capital'!$B$5+A5*'UTCL-Cost of Capital'!$B$6</f>
        <v>0.09228</v>
      </c>
      <c r="C5" s="91" t="n">
        <f aca="false">(1-'UTCL-Cost of Capital'!$B$14)*B5+'UTCL-Cost of Capital'!$B$14*'UTCL-Cost of Capital'!$B$12*(1-'UTCL-Cost of Capital'!$B$13)</f>
        <v>0.090465360825888</v>
      </c>
    </row>
    <row r="6" customFormat="false" ht="15" hidden="false" customHeight="true" outlineLevel="0" collapsed="false">
      <c r="A6" s="52" t="n">
        <v>0.7</v>
      </c>
      <c r="B6" s="91" t="n">
        <f aca="false">'UTCL-Cost of Capital'!$B$5+A6*'UTCL-Cost of Capital'!$B$6</f>
        <v>0.09936</v>
      </c>
      <c r="C6" s="91" t="n">
        <f aca="false">(1-'UTCL-Cost of Capital'!$B$14)*B6+'UTCL-Cost of Capital'!$B$14*'UTCL-Cost of Capital'!$B$12*(1-'UTCL-Cost of Capital'!$B$13)</f>
        <v>0.097115243745888</v>
      </c>
    </row>
    <row r="7" customFormat="false" ht="15" hidden="false" customHeight="true" outlineLevel="0" collapsed="false">
      <c r="A7" s="52" t="n">
        <v>0.8</v>
      </c>
      <c r="B7" s="91" t="n">
        <f aca="false">'UTCL-Cost of Capital'!$B$5+A7*'UTCL-Cost of Capital'!$B$6</f>
        <v>0.10644</v>
      </c>
      <c r="C7" s="91" t="n">
        <f aca="false">(1-'UTCL-Cost of Capital'!$B$14)*B7+'UTCL-Cost of Capital'!$B$14*'UTCL-Cost of Capital'!$B$12*(1-'UTCL-Cost of Capital'!$B$13)</f>
        <v>0.103765126665888</v>
      </c>
    </row>
    <row r="8" customFormat="false" ht="15" hidden="false" customHeight="true" outlineLevel="0" collapsed="false">
      <c r="A8" s="52" t="n">
        <v>0.9</v>
      </c>
      <c r="B8" s="91" t="n">
        <f aca="false">'UTCL-Cost of Capital'!$B$5+A8*'UTCL-Cost of Capital'!$B$6</f>
        <v>0.11352</v>
      </c>
      <c r="C8" s="91" t="n">
        <f aca="false">(1-'UTCL-Cost of Capital'!$B$14)*B8+'UTCL-Cost of Capital'!$B$14*'UTCL-Cost of Capital'!$B$12*(1-'UTCL-Cost of Capital'!$B$13)</f>
        <v>0.110415009585888</v>
      </c>
    </row>
    <row r="9" customFormat="false" ht="15" hidden="false" customHeight="true" outlineLevel="0" collapsed="false">
      <c r="A9" s="52" t="n">
        <v>1</v>
      </c>
      <c r="B9" s="91" t="n">
        <f aca="false">'UTCL-Cost of Capital'!$B$5+A9*'UTCL-Cost of Capital'!$B$6</f>
        <v>0.1206</v>
      </c>
      <c r="C9" s="91" t="n">
        <f aca="false">(1-'UTCL-Cost of Capital'!$B$14)*B9+'UTCL-Cost of Capital'!$B$14*'UTCL-Cost of Capital'!$B$12*(1-'UTCL-Cost of Capital'!$B$13)</f>
        <v>0.117064892505888</v>
      </c>
    </row>
    <row r="10" customFormat="false" ht="15" hidden="false" customHeight="true" outlineLevel="0" collapsed="false">
      <c r="A10" s="52" t="n">
        <v>1.1</v>
      </c>
      <c r="B10" s="91" t="n">
        <f aca="false">'UTCL-Cost of Capital'!$B$5+A10*'UTCL-Cost of Capital'!$B$6</f>
        <v>0.12768</v>
      </c>
      <c r="C10" s="91" t="n">
        <f aca="false">(1-'UTCL-Cost of Capital'!$B$14)*B10+'UTCL-Cost of Capital'!$B$14*'UTCL-Cost of Capital'!$B$12*(1-'UTCL-Cost of Capital'!$B$13)</f>
        <v>0.123714775425888</v>
      </c>
    </row>
    <row r="11" customFormat="false" ht="15" hidden="false" customHeight="true" outlineLevel="0" collapsed="false">
      <c r="A11" s="52" t="n">
        <v>1.2</v>
      </c>
      <c r="B11" s="91" t="n">
        <f aca="false">'UTCL-Cost of Capital'!$B$5+A11*'UTCL-Cost of Capital'!$B$6</f>
        <v>0.13476</v>
      </c>
      <c r="C11" s="91" t="n">
        <f aca="false">(1-'UTCL-Cost of Capital'!$B$14)*B11+'UTCL-Cost of Capital'!$B$14*'UTCL-Cost of Capital'!$B$12*(1-'UTCL-Cost of Capital'!$B$13)</f>
        <v>0.130364658345888</v>
      </c>
    </row>
    <row r="13" customFormat="false" ht="45" hidden="false" customHeight="true" outlineLevel="0" collapsed="false">
      <c r="A13" s="16" t="s">
        <v>749</v>
      </c>
      <c r="B13" s="16"/>
      <c r="C13" s="16"/>
      <c r="D13" s="16"/>
      <c r="E13" s="16"/>
      <c r="F13" s="16"/>
      <c r="G13" s="16"/>
      <c r="H13" s="16"/>
    </row>
    <row r="15" customFormat="false" ht="15" hidden="false" customHeight="true" outlineLevel="0" collapsed="false">
      <c r="A15" s="8" t="s">
        <v>750</v>
      </c>
      <c r="B15" s="8"/>
      <c r="C15" s="8"/>
      <c r="D15" s="8"/>
      <c r="E15" s="8"/>
      <c r="F15" s="8"/>
      <c r="G15" s="8"/>
      <c r="H15" s="8"/>
    </row>
    <row r="16" customFormat="false" ht="26.25" hidden="false" customHeight="true" outlineLevel="0" collapsed="false">
      <c r="A16" s="4" t="s">
        <v>367</v>
      </c>
      <c r="B16" s="4" t="s">
        <v>751</v>
      </c>
      <c r="C16" s="4" t="s">
        <v>752</v>
      </c>
      <c r="D16" s="4" t="s">
        <v>753</v>
      </c>
      <c r="E16" s="4"/>
      <c r="F16" s="4"/>
    </row>
    <row r="17" customFormat="false" ht="15" hidden="false" customHeight="true" outlineLevel="0" collapsed="false">
      <c r="A17" s="5" t="s">
        <v>754</v>
      </c>
      <c r="B17" s="92" t="s">
        <v>755</v>
      </c>
      <c r="C17" s="92" t="s">
        <v>756</v>
      </c>
      <c r="D17" s="92" t="s">
        <v>757</v>
      </c>
    </row>
    <row r="18" customFormat="false" ht="15" hidden="false" customHeight="true" outlineLevel="0" collapsed="false">
      <c r="A18" s="5" t="s">
        <v>377</v>
      </c>
      <c r="B18" s="92" t="s">
        <v>758</v>
      </c>
      <c r="C18" s="92" t="s">
        <v>759</v>
      </c>
      <c r="D18" s="92" t="s">
        <v>760</v>
      </c>
    </row>
    <row r="19" customFormat="false" ht="15" hidden="false" customHeight="true" outlineLevel="0" collapsed="false">
      <c r="A19" s="5" t="s">
        <v>761</v>
      </c>
      <c r="B19" s="92" t="s">
        <v>762</v>
      </c>
      <c r="C19" s="92" t="s">
        <v>763</v>
      </c>
      <c r="D19" s="92" t="s">
        <v>764</v>
      </c>
    </row>
    <row r="20" customFormat="false" ht="15" hidden="false" customHeight="true" outlineLevel="0" collapsed="false">
      <c r="A20" s="5" t="s">
        <v>765</v>
      </c>
      <c r="B20" s="92" t="s">
        <v>766</v>
      </c>
      <c r="C20" s="92" t="s">
        <v>766</v>
      </c>
      <c r="D20" s="92" t="s">
        <v>767</v>
      </c>
    </row>
    <row r="21" customFormat="false" ht="15" hidden="false" customHeight="true" outlineLevel="0" collapsed="false">
      <c r="A21" s="5" t="s">
        <v>768</v>
      </c>
      <c r="B21" s="92" t="s">
        <v>769</v>
      </c>
      <c r="C21" s="92" t="s">
        <v>769</v>
      </c>
      <c r="D21" s="92" t="s">
        <v>770</v>
      </c>
    </row>
    <row r="22" customFormat="false" ht="15" hidden="false" customHeight="true" outlineLevel="0" collapsed="false">
      <c r="A22" s="5" t="s">
        <v>739</v>
      </c>
      <c r="B22" s="92" t="s">
        <v>771</v>
      </c>
      <c r="C22" s="92" t="s">
        <v>772</v>
      </c>
      <c r="D22" s="92" t="s">
        <v>773</v>
      </c>
    </row>
    <row r="23" customFormat="false" ht="15" hidden="false" customHeight="true" outlineLevel="0" collapsed="false">
      <c r="A23" s="6" t="s">
        <v>774</v>
      </c>
      <c r="B23" s="21" t="s">
        <v>775</v>
      </c>
      <c r="C23" s="21" t="s">
        <v>776</v>
      </c>
      <c r="D23" s="21" t="s">
        <v>777</v>
      </c>
    </row>
    <row r="24" customFormat="false" ht="15" hidden="false" customHeight="true" outlineLevel="0" collapsed="false">
      <c r="A24" s="5" t="s">
        <v>778</v>
      </c>
      <c r="B24" s="92" t="s">
        <v>779</v>
      </c>
      <c r="C24" s="92" t="s">
        <v>780</v>
      </c>
      <c r="D24" s="92" t="s">
        <v>781</v>
      </c>
    </row>
    <row r="26" customFormat="false" ht="105" hidden="false" customHeight="true" outlineLevel="0" collapsed="false">
      <c r="A26" s="16" t="s">
        <v>782</v>
      </c>
      <c r="B26" s="16"/>
      <c r="C26" s="16"/>
      <c r="D26" s="16"/>
      <c r="E26" s="16"/>
      <c r="F26" s="16"/>
      <c r="G26" s="16"/>
      <c r="H26" s="16"/>
    </row>
    <row r="32" customFormat="false" ht="15" hidden="false" customHeight="true" outlineLevel="0" collapsed="false">
      <c r="A32" s="8" t="s">
        <v>783</v>
      </c>
      <c r="B32" s="8"/>
      <c r="C32" s="8"/>
      <c r="D32" s="8"/>
      <c r="E32" s="8"/>
      <c r="F32" s="8"/>
      <c r="G32" s="8"/>
      <c r="H32" s="8"/>
    </row>
    <row r="33" customFormat="false" ht="15" hidden="false" customHeight="true" outlineLevel="0" collapsed="false">
      <c r="A33" s="4" t="s">
        <v>784</v>
      </c>
      <c r="B33" s="4" t="s">
        <v>785</v>
      </c>
      <c r="C33" s="4" t="s">
        <v>786</v>
      </c>
      <c r="D33" s="4" t="s">
        <v>787</v>
      </c>
      <c r="E33" s="4" t="s">
        <v>788</v>
      </c>
      <c r="F33" s="4" t="s">
        <v>789</v>
      </c>
      <c r="G33" s="4" t="s">
        <v>790</v>
      </c>
      <c r="H33" s="4"/>
    </row>
    <row r="34" customFormat="false" ht="15" hidden="false" customHeight="true" outlineLevel="0" collapsed="false">
      <c r="A34" s="47" t="n">
        <v>0.09</v>
      </c>
      <c r="B34" s="63" t="n">
        <f aca="false">IF($A34&lt;=0.04,"",(('UTCL-P&amp;L'!C17/(1+$A34)^1+'UTCL-P&amp;L'!D17/(1+$A34)^2+'UTCL-P&amp;L'!E17/(1+$A34)^3+'UTCL-P&amp;L'!F17/(1+$A34)^4+'UTCL-P&amp;L'!G17/(1+$A34)^5+(('UTCL-P&amp;L'!G14*(1+0.04))-0.04*'UTCL-Balance Sheet'!G6)/($A34-0.04)/(1+$A34)^5)+'UTCL-Assumptions'!$B$39+'UTCL-Assumptions'!$B$45-'UTCL-Assumptions'!$B$46-'UTCL-Assumptions'!$B$47)/'UTCL-Assumptions'!$B$5)</f>
        <v>58812.8905305282</v>
      </c>
      <c r="C34" s="63" t="n">
        <f aca="false">IF($A34&lt;=0.045,"",(('UTCL-P&amp;L'!C17/(1+$A34)^1+'UTCL-P&amp;L'!D17/(1+$A34)^2+'UTCL-P&amp;L'!E17/(1+$A34)^3+'UTCL-P&amp;L'!F17/(1+$A34)^4+'UTCL-P&amp;L'!G17/(1+$A34)^5+(('UTCL-P&amp;L'!G14*(1+0.045))-0.045*'UTCL-Balance Sheet'!G6)/($A34-0.045)/(1+$A34)^5)+'UTCL-Assumptions'!$B$39+'UTCL-Assumptions'!$B$45-'UTCL-Assumptions'!$B$46-'UTCL-Assumptions'!$B$47)/'UTCL-Assumptions'!$B$5)</f>
        <v>65375.4315757225</v>
      </c>
      <c r="D34" s="63" t="n">
        <f aca="false">IF($A34&lt;=0.05,"",(('UTCL-P&amp;L'!C17/(1+$A34)^1+'UTCL-P&amp;L'!D17/(1+$A34)^2+'UTCL-P&amp;L'!E17/(1+$A34)^3+'UTCL-P&amp;L'!F17/(1+$A34)^4+'UTCL-P&amp;L'!G17/(1+$A34)^5+(('UTCL-P&amp;L'!G14*(1+0.05))-0.05*'UTCL-Balance Sheet'!G6)/($A34-0.05)/(1+$A34)^5)+'UTCL-Assumptions'!$B$39+'UTCL-Assumptions'!$B$45-'UTCL-Assumptions'!$B$46-'UTCL-Assumptions'!$B$47)/'UTCL-Assumptions'!$B$5)</f>
        <v>73578.6078822153</v>
      </c>
      <c r="E34" s="63" t="n">
        <f aca="false">IF($A34&lt;=0.055,"",(('UTCL-P&amp;L'!C17/(1+$A34)^1+'UTCL-P&amp;L'!D17/(1+$A34)^2+'UTCL-P&amp;L'!E17/(1+$A34)^3+'UTCL-P&amp;L'!F17/(1+$A34)^4+'UTCL-P&amp;L'!G17/(1+$A34)^5+(('UTCL-P&amp;L'!G14*(1+0.055))-0.055*'UTCL-Balance Sheet'!G6)/($A34-0.055)/(1+$A34)^5)+'UTCL-Assumptions'!$B$39+'UTCL-Assumptions'!$B$45-'UTCL-Assumptions'!$B$46-'UTCL-Assumptions'!$B$47)/'UTCL-Assumptions'!$B$5)</f>
        <v>84125.548847706</v>
      </c>
      <c r="F34" s="63" t="n">
        <f aca="false">IF($A34&lt;=0.06,"",(('UTCL-P&amp;L'!C17/(1+$A34)^1+'UTCL-P&amp;L'!D17/(1+$A34)^2+'UTCL-P&amp;L'!E17/(1+$A34)^3+'UTCL-P&amp;L'!F17/(1+$A34)^4+'UTCL-P&amp;L'!G17/(1+$A34)^5+(('UTCL-P&amp;L'!G14*(1+0.06))-0.06*'UTCL-Balance Sheet'!G6)/($A34-0.06)/(1+$A34)^5)+'UTCL-Assumptions'!$B$39+'UTCL-Assumptions'!$B$45-'UTCL-Assumptions'!$B$46-'UTCL-Assumptions'!$B$47)/'UTCL-Assumptions'!$B$5)</f>
        <v>98188.1368016937</v>
      </c>
      <c r="G34" s="63" t="n">
        <f aca="false">IF($A34&lt;=0.065,"",(('UTCL-P&amp;L'!C17/(1+$A34)^1+'UTCL-P&amp;L'!D17/(1+$A34)^2+'UTCL-P&amp;L'!E17/(1+$A34)^3+'UTCL-P&amp;L'!F17/(1+$A34)^4+'UTCL-P&amp;L'!G17/(1+$A34)^5+(('UTCL-P&amp;L'!G14*(1+0.065))-0.065*'UTCL-Balance Sheet'!G6)/($A34-0.065)/(1+$A34)^5)+'UTCL-Assumptions'!$B$39+'UTCL-Assumptions'!$B$45-'UTCL-Assumptions'!$B$46-'UTCL-Assumptions'!$B$47)/'UTCL-Assumptions'!$B$5)</f>
        <v>117875.759937276</v>
      </c>
    </row>
    <row r="35" customFormat="false" ht="15" hidden="false" customHeight="true" outlineLevel="0" collapsed="false">
      <c r="A35" s="47" t="n">
        <v>0.1</v>
      </c>
      <c r="B35" s="63" t="n">
        <f aca="false">IF($A35&lt;=0.04,"",(('UTCL-P&amp;L'!C17/(1+$A35)^1+'UTCL-P&amp;L'!D17/(1+$A35)^2+'UTCL-P&amp;L'!E17/(1+$A35)^3+'UTCL-P&amp;L'!F17/(1+$A35)^4+'UTCL-P&amp;L'!G17/(1+$A35)^5+(('UTCL-P&amp;L'!G14*(1+0.04))-0.04*'UTCL-Balance Sheet'!G6)/($A35-0.04)/(1+$A35)^5)+'UTCL-Assumptions'!$B$39+'UTCL-Assumptions'!$B$45-'UTCL-Assumptions'!$B$46-'UTCL-Assumptions'!$B$47)/'UTCL-Assumptions'!$B$5)</f>
        <v>46841.8962066112</v>
      </c>
      <c r="C35" s="63" t="n">
        <f aca="false">IF($A35&lt;=0.045,"",(('UTCL-P&amp;L'!C17/(1+$A35)^1+'UTCL-P&amp;L'!D17/(1+$A35)^2+'UTCL-P&amp;L'!E17/(1+$A35)^3+'UTCL-P&amp;L'!F17/(1+$A35)^4+'UTCL-P&amp;L'!G17/(1+$A35)^5+(('UTCL-P&amp;L'!G14*(1+0.045))-0.045*'UTCL-Balance Sheet'!G6)/($A35-0.045)/(1+$A35)^5)+'UTCL-Assumptions'!$B$39+'UTCL-Assumptions'!$B$45-'UTCL-Assumptions'!$B$46-'UTCL-Assumptions'!$B$47)/'UTCL-Assumptions'!$B$5)</f>
        <v>51122.9077265712</v>
      </c>
      <c r="D35" s="63" t="n">
        <f aca="false">IF($A35&lt;=0.05,"",(('UTCL-P&amp;L'!C17/(1+$A35)^1+'UTCL-P&amp;L'!D17/(1+$A35)^2+'UTCL-P&amp;L'!E17/(1+$A35)^3+'UTCL-P&amp;L'!F17/(1+$A35)^4+'UTCL-P&amp;L'!G17/(1+$A35)^5+(('UTCL-P&amp;L'!G14*(1+0.05))-0.05*'UTCL-Balance Sheet'!G6)/($A35-0.05)/(1+$A35)^5)+'UTCL-Assumptions'!$B$39+'UTCL-Assumptions'!$B$45-'UTCL-Assumptions'!$B$46-'UTCL-Assumptions'!$B$47)/'UTCL-Assumptions'!$B$5)</f>
        <v>56260.1215505232</v>
      </c>
      <c r="E35" s="63" t="n">
        <f aca="false">IF($A35&lt;=0.055,"",(('UTCL-P&amp;L'!C17/(1+$A35)^1+'UTCL-P&amp;L'!D17/(1+$A35)^2+'UTCL-P&amp;L'!E17/(1+$A35)^3+'UTCL-P&amp;L'!F17/(1+$A35)^4+'UTCL-P&amp;L'!G17/(1+$A35)^5+(('UTCL-P&amp;L'!G14*(1+0.055))-0.055*'UTCL-Balance Sheet'!G6)/($A35-0.055)/(1+$A35)^5)+'UTCL-Assumptions'!$B$39+'UTCL-Assumptions'!$B$45-'UTCL-Assumptions'!$B$46-'UTCL-Assumptions'!$B$47)/'UTCL-Assumptions'!$B$5)</f>
        <v>62538.9384464645</v>
      </c>
      <c r="F35" s="63" t="n">
        <f aca="false">IF($A35&lt;=0.06,"",(('UTCL-P&amp;L'!C17/(1+$A35)^1+'UTCL-P&amp;L'!D17/(1+$A35)^2+'UTCL-P&amp;L'!E17/(1+$A35)^3+'UTCL-P&amp;L'!F17/(1+$A35)^4+'UTCL-P&amp;L'!G17/(1+$A35)^5+(('UTCL-P&amp;L'!G14*(1+0.06))-0.06*'UTCL-Balance Sheet'!G6)/($A35-0.06)/(1+$A35)^5)+'UTCL-Assumptions'!$B$39+'UTCL-Assumptions'!$B$45-'UTCL-Assumptions'!$B$46-'UTCL-Assumptions'!$B$47)/'UTCL-Assumptions'!$B$5)</f>
        <v>70387.4595663912</v>
      </c>
      <c r="G35" s="63" t="n">
        <f aca="false">IF($A35&lt;=0.065,"",(('UTCL-P&amp;L'!C17/(1+$A35)^1+'UTCL-P&amp;L'!D17/(1+$A35)^2+'UTCL-P&amp;L'!E17/(1+$A35)^3+'UTCL-P&amp;L'!F17/(1+$A35)^4+'UTCL-P&amp;L'!G17/(1+$A35)^5+(('UTCL-P&amp;L'!G14*(1+0.065))-0.065*'UTCL-Balance Sheet'!G6)/($A35-0.065)/(1+$A35)^5)+'UTCL-Assumptions'!$B$39+'UTCL-Assumptions'!$B$45-'UTCL-Assumptions'!$B$46-'UTCL-Assumptions'!$B$47)/'UTCL-Assumptions'!$B$5)</f>
        <v>80478.4152920112</v>
      </c>
    </row>
    <row r="36" customFormat="false" ht="15" hidden="false" customHeight="true" outlineLevel="0" collapsed="false">
      <c r="A36" s="47" t="n">
        <v>0.11</v>
      </c>
      <c r="B36" s="63" t="n">
        <f aca="false">IF($A36&lt;=0.04,"",(('UTCL-P&amp;L'!C17/(1+$A36)^1+'UTCL-P&amp;L'!D17/(1+$A36)^2+'UTCL-P&amp;L'!E17/(1+$A36)^3+'UTCL-P&amp;L'!F17/(1+$A36)^4+'UTCL-P&amp;L'!G17/(1+$A36)^5+(('UTCL-P&amp;L'!G14*(1+0.04))-0.04*'UTCL-Balance Sheet'!G6)/($A36-0.04)/(1+$A36)^5)+'UTCL-Assumptions'!$B$39+'UTCL-Assumptions'!$B$45-'UTCL-Assumptions'!$B$46-'UTCL-Assumptions'!$B$47)/'UTCL-Assumptions'!$B$5)</f>
        <v>38385.8647632819</v>
      </c>
      <c r="C36" s="63" t="n">
        <f aca="false">IF($A36&lt;=0.045,"",(('UTCL-P&amp;L'!C17/(1+$A36)^1+'UTCL-P&amp;L'!D17/(1+$A36)^2+'UTCL-P&amp;L'!E17/(1+$A36)^3+'UTCL-P&amp;L'!F17/(1+$A36)^4+'UTCL-P&amp;L'!G17/(1+$A36)^5+(('UTCL-P&amp;L'!G14*(1+0.045))-0.045*'UTCL-Balance Sheet'!G6)/($A36-0.045)/(1+$A36)^5)+'UTCL-Assumptions'!$B$39+'UTCL-Assumptions'!$B$45-'UTCL-Assumptions'!$B$46-'UTCL-Assumptions'!$B$47)/'UTCL-Assumptions'!$B$5)</f>
        <v>41357.758393213</v>
      </c>
      <c r="D36" s="93" t="n">
        <f aca="false">IF($A36&lt;=0.05,"",(('UTCL-P&amp;L'!C17/(1+$A36)^1+'UTCL-P&amp;L'!D17/(1+$A36)^2+'UTCL-P&amp;L'!E17/(1+$A36)^3+'UTCL-P&amp;L'!F17/(1+$A36)^4+'UTCL-P&amp;L'!G17/(1+$A36)^5+(('UTCL-P&amp;L'!G14*(1+0.05))-0.05*'UTCL-Balance Sheet'!G6)/($A36-0.05)/(1+$A36)^5)+'UTCL-Assumptions'!$B$39+'UTCL-Assumptions'!$B$45-'UTCL-Assumptions'!$B$46-'UTCL-Assumptions'!$B$47)/'UTCL-Assumptions'!$B$5)</f>
        <v>44824.9676281325</v>
      </c>
      <c r="E36" s="63" t="n">
        <f aca="false">IF($A36&lt;=0.055,"",(('UTCL-P&amp;L'!C17/(1+$A36)^1+'UTCL-P&amp;L'!D17/(1+$A36)^2+'UTCL-P&amp;L'!E17/(1+$A36)^3+'UTCL-P&amp;L'!F17/(1+$A36)^4+'UTCL-P&amp;L'!G17/(1+$A36)^5+(('UTCL-P&amp;L'!G14*(1+0.055))-0.055*'UTCL-Balance Sheet'!G6)/($A36-0.055)/(1+$A36)^5)+'UTCL-Assumptions'!$B$39+'UTCL-Assumptions'!$B$45-'UTCL-Assumptions'!$B$46-'UTCL-Assumptions'!$B$47)/'UTCL-Assumptions'!$B$5)</f>
        <v>48922.5785421283</v>
      </c>
      <c r="F36" s="63" t="n">
        <f aca="false">IF($A36&lt;=0.06,"",(('UTCL-P&amp;L'!C17/(1+$A36)^1+'UTCL-P&amp;L'!D17/(1+$A36)^2+'UTCL-P&amp;L'!E17/(1+$A36)^3+'UTCL-P&amp;L'!F17/(1+$A36)^4+'UTCL-P&amp;L'!G17/(1+$A36)^5+(('UTCL-P&amp;L'!G14*(1+0.06))-0.06*'UTCL-Balance Sheet'!G6)/($A36-0.06)/(1+$A36)^5)+'UTCL-Assumptions'!$B$39+'UTCL-Assumptions'!$B$45-'UTCL-Assumptions'!$B$46-'UTCL-Assumptions'!$B$47)/'UTCL-Assumptions'!$B$5)</f>
        <v>53839.7116389233</v>
      </c>
      <c r="G36" s="63" t="n">
        <f aca="false">IF($A36&lt;=0.065,"",(('UTCL-P&amp;L'!C17/(1+$A36)^1+'UTCL-P&amp;L'!D17/(1+$A36)^2+'UTCL-P&amp;L'!E17/(1+$A36)^3+'UTCL-P&amp;L'!F17/(1+$A36)^4+'UTCL-P&amp;L'!G17/(1+$A36)^5+(('UTCL-P&amp;L'!G14*(1+0.065))-0.065*'UTCL-Balance Sheet'!G6)/($A36-0.065)/(1+$A36)^5)+'UTCL-Assumptions'!$B$39+'UTCL-Assumptions'!$B$45-'UTCL-Assumptions'!$B$46-'UTCL-Assumptions'!$B$47)/'UTCL-Assumptions'!$B$5)</f>
        <v>59849.5409794505</v>
      </c>
    </row>
    <row r="37" customFormat="false" ht="15" hidden="false" customHeight="true" outlineLevel="0" collapsed="false">
      <c r="A37" s="47" t="n">
        <v>0.12</v>
      </c>
      <c r="B37" s="63" t="n">
        <f aca="false">IF($A37&lt;=0.04,"",(('UTCL-P&amp;L'!C17/(1+$A37)^1+'UTCL-P&amp;L'!D17/(1+$A37)^2+'UTCL-P&amp;L'!E17/(1+$A37)^3+'UTCL-P&amp;L'!F17/(1+$A37)^4+'UTCL-P&amp;L'!G17/(1+$A37)^5+(('UTCL-P&amp;L'!G14*(1+0.04))-0.04*'UTCL-Balance Sheet'!G6)/($A37-0.04)/(1+$A37)^5)+'UTCL-Assumptions'!$B$39+'UTCL-Assumptions'!$B$45-'UTCL-Assumptions'!$B$46-'UTCL-Assumptions'!$B$47)/'UTCL-Assumptions'!$B$5)</f>
        <v>32121.5988046961</v>
      </c>
      <c r="C37" s="63" t="n">
        <f aca="false">IF($A37&lt;=0.045,"",(('UTCL-P&amp;L'!C17/(1+$A37)^1+'UTCL-P&amp;L'!D17/(1+$A37)^2+'UTCL-P&amp;L'!E17/(1+$A37)^3+'UTCL-P&amp;L'!F17/(1+$A37)^4+'UTCL-P&amp;L'!G17/(1+$A37)^5+(('UTCL-P&amp;L'!G14*(1+0.045))-0.045*'UTCL-Balance Sheet'!G6)/($A37-0.045)/(1+$A37)^5)+'UTCL-Assumptions'!$B$39+'UTCL-Assumptions'!$B$45-'UTCL-Assumptions'!$B$46-'UTCL-Assumptions'!$B$47)/'UTCL-Assumptions'!$B$5)</f>
        <v>34279.6067933623</v>
      </c>
      <c r="D37" s="63" t="n">
        <f aca="false">IF($A37&lt;=0.05,"",(('UTCL-P&amp;L'!C17/(1+$A37)^1+'UTCL-P&amp;L'!D17/(1+$A37)^2+'UTCL-P&amp;L'!E17/(1+$A37)^3+'UTCL-P&amp;L'!F17/(1+$A37)^4+'UTCL-P&amp;L'!G17/(1+$A37)^5+(('UTCL-P&amp;L'!G14*(1+0.05))-0.05*'UTCL-Balance Sheet'!G6)/($A37-0.05)/(1+$A37)^5)+'UTCL-Assumptions'!$B$39+'UTCL-Assumptions'!$B$45-'UTCL-Assumptions'!$B$46-'UTCL-Assumptions'!$B$47)/'UTCL-Assumptions'!$B$5)</f>
        <v>36745.9016375522</v>
      </c>
      <c r="E37" s="63" t="n">
        <f aca="false">IF($A37&lt;=0.055,"",(('UTCL-P&amp;L'!C17/(1+$A37)^1+'UTCL-P&amp;L'!D17/(1+$A37)^2+'UTCL-P&amp;L'!E17/(1+$A37)^3+'UTCL-P&amp;L'!F17/(1+$A37)^4+'UTCL-P&amp;L'!G17/(1+$A37)^5+(('UTCL-P&amp;L'!G14*(1+0.055))-0.055*'UTCL-Balance Sheet'!G6)/($A37-0.055)/(1+$A37)^5)+'UTCL-Assumptions'!$B$39+'UTCL-Assumptions'!$B$45-'UTCL-Assumptions'!$B$46-'UTCL-Assumptions'!$B$47)/'UTCL-Assumptions'!$B$5)</f>
        <v>39591.6264577714</v>
      </c>
      <c r="F37" s="63" t="n">
        <f aca="false">IF($A37&lt;=0.06,"",(('UTCL-P&amp;L'!C17/(1+$A37)^1+'UTCL-P&amp;L'!D17/(1+$A37)^2+'UTCL-P&amp;L'!E17/(1+$A37)^3+'UTCL-P&amp;L'!F17/(1+$A37)^4+'UTCL-P&amp;L'!G17/(1+$A37)^5+(('UTCL-P&amp;L'!G14*(1+0.06))-0.06*'UTCL-Balance Sheet'!G6)/($A37-0.06)/(1+$A37)^5)+'UTCL-Assumptions'!$B$39+'UTCL-Assumptions'!$B$45-'UTCL-Assumptions'!$B$46-'UTCL-Assumptions'!$B$47)/'UTCL-Assumptions'!$B$5)</f>
        <v>42911.6387480271</v>
      </c>
      <c r="G37" s="63" t="n">
        <f aca="false">IF($A37&lt;=0.065,"",(('UTCL-P&amp;L'!C17/(1+$A37)^1+'UTCL-P&amp;L'!D17/(1+$A37)^2+'UTCL-P&amp;L'!E17/(1+$A37)^3+'UTCL-P&amp;L'!F17/(1+$A37)^4+'UTCL-P&amp;L'!G17/(1+$A37)^5+(('UTCL-P&amp;L'!G14*(1+0.065))-0.065*'UTCL-Balance Sheet'!G6)/($A37-0.065)/(1+$A37)^5)+'UTCL-Assumptions'!$B$39+'UTCL-Assumptions'!$B$45-'UTCL-Assumptions'!$B$46-'UTCL-Assumptions'!$B$47)/'UTCL-Assumptions'!$B$5)</f>
        <v>46835.2896365111</v>
      </c>
    </row>
    <row r="38" customFormat="false" ht="15" hidden="false" customHeight="true" outlineLevel="0" collapsed="false">
      <c r="A38" s="47" t="n">
        <v>0.13</v>
      </c>
      <c r="B38" s="63" t="n">
        <f aca="false">IF($A38&lt;=0.04,"",(('UTCL-P&amp;L'!C17/(1+$A38)^1+'UTCL-P&amp;L'!D17/(1+$A38)^2+'UTCL-P&amp;L'!E17/(1+$A38)^3+'UTCL-P&amp;L'!F17/(1+$A38)^4+'UTCL-P&amp;L'!G17/(1+$A38)^5+(('UTCL-P&amp;L'!G14*(1+0.04))-0.04*'UTCL-Balance Sheet'!G6)/($A38-0.04)/(1+$A38)^5)+'UTCL-Assumptions'!$B$39+'UTCL-Assumptions'!$B$45-'UTCL-Assumptions'!$B$46-'UTCL-Assumptions'!$B$47)/'UTCL-Assumptions'!$B$5)</f>
        <v>27314.3031309946</v>
      </c>
      <c r="C38" s="63" t="n">
        <f aca="false">IF($A38&lt;=0.045,"",(('UTCL-P&amp;L'!C17/(1+$A38)^1+'UTCL-P&amp;L'!D17/(1+$A38)^2+'UTCL-P&amp;L'!E17/(1+$A38)^3+'UTCL-P&amp;L'!F17/(1+$A38)^4+'UTCL-P&amp;L'!G17/(1+$A38)^5+(('UTCL-P&amp;L'!G14*(1+0.045))-0.045*'UTCL-Balance Sheet'!G6)/($A38-0.045)/(1+$A38)^5)+'UTCL-Assumptions'!$B$39+'UTCL-Assumptions'!$B$45-'UTCL-Assumptions'!$B$46-'UTCL-Assumptions'!$B$47)/'UTCL-Assumptions'!$B$5)</f>
        <v>28935.6453535355</v>
      </c>
      <c r="D38" s="63" t="n">
        <f aca="false">IF($A38&lt;=0.05,"",(('UTCL-P&amp;L'!C17/(1+$A38)^1+'UTCL-P&amp;L'!D17/(1+$A38)^2+'UTCL-P&amp;L'!E17/(1+$A38)^3+'UTCL-P&amp;L'!F17/(1+$A38)^4+'UTCL-P&amp;L'!G17/(1+$A38)^5+(('UTCL-P&amp;L'!G14*(1+0.05))-0.05*'UTCL-Balance Sheet'!G6)/($A38-0.05)/(1+$A38)^5)+'UTCL-Assumptions'!$B$39+'UTCL-Assumptions'!$B$45-'UTCL-Assumptions'!$B$46-'UTCL-Assumptions'!$B$47)/'UTCL-Assumptions'!$B$5)</f>
        <v>30759.655353894</v>
      </c>
      <c r="E38" s="63" t="n">
        <f aca="false">IF($A38&lt;=0.055,"",(('UTCL-P&amp;L'!C17/(1+$A38)^1+'UTCL-P&amp;L'!D17/(1+$A38)^2+'UTCL-P&amp;L'!E17/(1+$A38)^3+'UTCL-P&amp;L'!F17/(1+$A38)^4+'UTCL-P&amp;L'!G17/(1+$A38)^5+(('UTCL-P&amp;L'!G14*(1+0.055))-0.055*'UTCL-Balance Sheet'!G6)/($A38-0.055)/(1+$A38)^5)+'UTCL-Assumptions'!$B$39+'UTCL-Assumptions'!$B$45-'UTCL-Assumptions'!$B$46-'UTCL-Assumptions'!$B$47)/'UTCL-Assumptions'!$B$5)</f>
        <v>32826.8666876336</v>
      </c>
      <c r="F38" s="63" t="n">
        <f aca="false">IF($A38&lt;=0.06,"",(('UTCL-P&amp;L'!C17/(1+$A38)^1+'UTCL-P&amp;L'!D17/(1+$A38)^2+'UTCL-P&amp;L'!E17/(1+$A38)^3+'UTCL-P&amp;L'!F17/(1+$A38)^4+'UTCL-P&amp;L'!G17/(1+$A38)^5+(('UTCL-P&amp;L'!G14*(1+0.06))-0.06*'UTCL-Balance Sheet'!G6)/($A38-0.06)/(1+$A38)^5)+'UTCL-Assumptions'!$B$39+'UTCL-Assumptions'!$B$45-'UTCL-Assumptions'!$B$46-'UTCL-Assumptions'!$B$47)/'UTCL-Assumptions'!$B$5)</f>
        <v>35189.3939261932</v>
      </c>
      <c r="G38" s="63" t="n">
        <f aca="false">IF($A38&lt;=0.065,"",(('UTCL-P&amp;L'!C17/(1+$A38)^1+'UTCL-P&amp;L'!D17/(1+$A38)^2+'UTCL-P&amp;L'!E17/(1+$A38)^3+'UTCL-P&amp;L'!F17/(1+$A38)^4+'UTCL-P&amp;L'!G17/(1+$A38)^5+(('UTCL-P&amp;L'!G14*(1+0.065))-0.065*'UTCL-Balance Sheet'!G6)/($A38-0.065)/(1+$A38)^5)+'UTCL-Assumptions'!$B$39+'UTCL-Assumptions'!$B$45-'UTCL-Assumptions'!$B$46-'UTCL-Assumptions'!$B$47)/'UTCL-Assumptions'!$B$5)</f>
        <v>37915.386893762</v>
      </c>
    </row>
    <row r="40" customFormat="false" ht="45" hidden="false" customHeight="true" outlineLevel="0" collapsed="false">
      <c r="A40" s="16" t="s">
        <v>791</v>
      </c>
      <c r="B40" s="16"/>
      <c r="C40" s="16"/>
      <c r="D40" s="16"/>
      <c r="E40" s="16"/>
      <c r="F40" s="16"/>
      <c r="G40" s="16"/>
      <c r="H40" s="16"/>
    </row>
  </sheetData>
  <mergeCells count="6">
    <mergeCell ref="A3:H3"/>
    <mergeCell ref="A13:H13"/>
    <mergeCell ref="A15:H15"/>
    <mergeCell ref="A26:H26"/>
    <mergeCell ref="A32:H32"/>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9"/>
    <col collapsed="false" customWidth="true" hidden="false" outlineLevel="0" max="7" min="3" style="1" width="15"/>
  </cols>
  <sheetData>
    <row r="1" customFormat="false" ht="17.25" hidden="false" customHeight="true" outlineLevel="0" collapsed="false">
      <c r="A1" s="2" t="s">
        <v>792</v>
      </c>
    </row>
    <row r="2" customFormat="false" ht="15" hidden="false" customHeight="true" outlineLevel="0" collapsed="false">
      <c r="A2" s="3" t="s">
        <v>793</v>
      </c>
    </row>
    <row r="4" customFormat="false" ht="15" hidden="false" customHeight="true" outlineLevel="0" collapsed="false">
      <c r="A4" s="4" t="s">
        <v>235</v>
      </c>
      <c r="B4" s="4" t="s">
        <v>186</v>
      </c>
      <c r="C4" s="4" t="s">
        <v>794</v>
      </c>
      <c r="D4" s="4" t="s">
        <v>795</v>
      </c>
      <c r="E4" s="4" t="s">
        <v>796</v>
      </c>
      <c r="F4" s="4" t="s">
        <v>797</v>
      </c>
      <c r="G4" s="4" t="s">
        <v>798</v>
      </c>
    </row>
    <row r="5" customFormat="false" ht="15" hidden="false" customHeight="true" outlineLevel="0" collapsed="false">
      <c r="C5" s="94" t="s">
        <v>799</v>
      </c>
      <c r="D5" s="94" t="s">
        <v>800</v>
      </c>
      <c r="E5" s="94" t="s">
        <v>800</v>
      </c>
      <c r="F5" s="94" t="s">
        <v>800</v>
      </c>
      <c r="G5" s="94" t="s">
        <v>800</v>
      </c>
    </row>
    <row r="6" customFormat="false" ht="15" hidden="false" customHeight="true" outlineLevel="0" collapsed="false">
      <c r="A6" s="5" t="s">
        <v>347</v>
      </c>
      <c r="B6" s="23" t="s">
        <v>200</v>
      </c>
      <c r="C6" s="25" t="n">
        <v>316633</v>
      </c>
      <c r="D6" s="25" t="n">
        <v>99095</v>
      </c>
      <c r="E6" s="25" t="n">
        <v>83058</v>
      </c>
      <c r="F6" s="25" t="n">
        <v>39252</v>
      </c>
      <c r="G6" s="25" t="n">
        <v>21939</v>
      </c>
    </row>
    <row r="7" customFormat="false" ht="15" hidden="false" customHeight="true" outlineLevel="0" collapsed="false">
      <c r="A7" s="5" t="s">
        <v>801</v>
      </c>
      <c r="B7" s="23" t="s">
        <v>200</v>
      </c>
      <c r="C7" s="25" t="n">
        <v>16443.97</v>
      </c>
      <c r="D7" s="25" t="n">
        <v>-92.67</v>
      </c>
      <c r="E7" s="25" t="n">
        <v>-6157.3</v>
      </c>
      <c r="F7" s="25" t="n">
        <v>5717.1</v>
      </c>
      <c r="G7" s="25" t="n">
        <v>3644.32</v>
      </c>
    </row>
    <row r="8" customFormat="false" ht="15" hidden="false" customHeight="true" outlineLevel="0" collapsed="false">
      <c r="A8" s="5" t="s">
        <v>802</v>
      </c>
      <c r="B8" s="23" t="s">
        <v>200</v>
      </c>
      <c r="C8" s="25" t="n">
        <v>0</v>
      </c>
      <c r="D8" s="25" t="n">
        <v>12498.92</v>
      </c>
      <c r="E8" s="25" t="n">
        <v>0</v>
      </c>
      <c r="F8" s="25" t="n">
        <v>0</v>
      </c>
      <c r="G8" s="25" t="n">
        <v>0</v>
      </c>
    </row>
    <row r="9" customFormat="false" ht="15" hidden="false" customHeight="true" outlineLevel="0" collapsed="false">
      <c r="A9" s="5" t="s">
        <v>803</v>
      </c>
      <c r="B9" s="23" t="s">
        <v>200</v>
      </c>
      <c r="C9" s="25" t="n">
        <v>15816.65</v>
      </c>
      <c r="D9" s="25" t="n">
        <v>6558.99</v>
      </c>
      <c r="E9" s="25" t="n">
        <v>4036.63</v>
      </c>
      <c r="F9" s="25" t="n">
        <v>2283.94</v>
      </c>
      <c r="G9" s="25" t="n">
        <v>1347.74</v>
      </c>
    </row>
    <row r="10" customFormat="false" ht="15" hidden="false" customHeight="true" outlineLevel="0" collapsed="false">
      <c r="A10" s="5" t="s">
        <v>237</v>
      </c>
      <c r="B10" s="23" t="s">
        <v>200</v>
      </c>
      <c r="C10" s="25" t="n">
        <v>86069.88</v>
      </c>
      <c r="D10" s="25" t="n">
        <v>40446.04</v>
      </c>
      <c r="E10" s="25" t="n">
        <v>19985.22</v>
      </c>
      <c r="F10" s="25" t="n">
        <v>13621.38</v>
      </c>
      <c r="G10" s="25" t="n">
        <v>9211.41</v>
      </c>
    </row>
    <row r="11" customFormat="false" ht="15" hidden="false" customHeight="true" outlineLevel="0" collapsed="false">
      <c r="A11" s="5" t="s">
        <v>804</v>
      </c>
      <c r="B11" s="23" t="s">
        <v>200</v>
      </c>
      <c r="C11" s="25" t="n">
        <v>7761.6</v>
      </c>
      <c r="D11" s="25" t="n">
        <v>2259.74</v>
      </c>
      <c r="E11" s="25" t="n">
        <v>1533.67</v>
      </c>
      <c r="F11" s="25" t="n">
        <v>1096.29</v>
      </c>
      <c r="G11" s="25" t="n">
        <v>178.45</v>
      </c>
    </row>
    <row r="12" customFormat="false" ht="15" hidden="false" customHeight="true" outlineLevel="0" collapsed="false">
      <c r="A12" s="5" t="s">
        <v>217</v>
      </c>
      <c r="B12" s="23" t="s">
        <v>200</v>
      </c>
      <c r="C12" s="25" t="n">
        <v>74663.37</v>
      </c>
      <c r="D12" s="25" t="n">
        <v>59347.32</v>
      </c>
      <c r="E12" s="25" t="n">
        <v>22511.6</v>
      </c>
      <c r="F12" s="25" t="n">
        <v>6960.68</v>
      </c>
      <c r="G12" s="25" t="n">
        <v>8142.37</v>
      </c>
    </row>
    <row r="13" customFormat="false" ht="15" hidden="false" customHeight="true" outlineLevel="0" collapsed="false">
      <c r="A13" s="5" t="s">
        <v>805</v>
      </c>
      <c r="B13" s="23" t="s">
        <v>806</v>
      </c>
      <c r="C13" s="95" t="n">
        <v>29.468</v>
      </c>
      <c r="D13" s="95" t="n">
        <v>247.18</v>
      </c>
      <c r="E13" s="95" t="n">
        <v>3.608</v>
      </c>
      <c r="F13" s="95" t="n">
        <v>7.727</v>
      </c>
      <c r="G13" s="95" t="n">
        <v>23.63</v>
      </c>
    </row>
    <row r="14" customFormat="false" ht="26.25" hidden="false" customHeight="true" outlineLevel="0" collapsed="false">
      <c r="A14" s="6" t="s">
        <v>807</v>
      </c>
      <c r="C14" s="96" t="s">
        <v>808</v>
      </c>
      <c r="D14" s="97" t="s">
        <v>809</v>
      </c>
      <c r="E14" s="96" t="s">
        <v>808</v>
      </c>
      <c r="F14" s="96" t="s">
        <v>808</v>
      </c>
      <c r="G14" s="96" t="s">
        <v>808</v>
      </c>
    </row>
    <row r="15" customFormat="false" ht="15" hidden="false" customHeight="true" outlineLevel="0" collapsed="false">
      <c r="A15" s="6" t="s">
        <v>710</v>
      </c>
      <c r="C15" s="38" t="n">
        <f aca="false">C6+C8+C7</f>
        <v>333076.97</v>
      </c>
      <c r="D15" s="38" t="n">
        <f aca="false">D6+D8+D7</f>
        <v>111501.25</v>
      </c>
      <c r="E15" s="38" t="n">
        <f aca="false">E6+E8+E7</f>
        <v>76900.7</v>
      </c>
      <c r="F15" s="38" t="n">
        <f aca="false">F6+F8+F7</f>
        <v>44969.1</v>
      </c>
      <c r="G15" s="38" t="n">
        <f aca="false">G6+G8+G7</f>
        <v>25583.32</v>
      </c>
    </row>
    <row r="17" customFormat="false" ht="15" hidden="false" customHeight="true" outlineLevel="0" collapsed="false">
      <c r="A17" s="8" t="s">
        <v>810</v>
      </c>
      <c r="B17" s="8"/>
      <c r="C17" s="8"/>
      <c r="D17" s="8"/>
      <c r="E17" s="8"/>
      <c r="F17" s="8"/>
      <c r="G17" s="8"/>
    </row>
    <row r="18" customFormat="false" ht="15" hidden="false" customHeight="true" outlineLevel="0" collapsed="false">
      <c r="A18" s="5" t="s">
        <v>811</v>
      </c>
      <c r="C18" s="98" t="n">
        <f aca="false">C15/C9</f>
        <v>21.0586293557738</v>
      </c>
      <c r="D18" s="98" t="n">
        <f aca="false">D15/D9</f>
        <v>16.9997591092531</v>
      </c>
      <c r="E18" s="98" t="n">
        <f aca="false">E15/E9</f>
        <v>19.0507180494621</v>
      </c>
      <c r="F18" s="98" t="n">
        <f aca="false">F15/F9</f>
        <v>19.6892650419888</v>
      </c>
      <c r="G18" s="98" t="n">
        <f aca="false">G15/G9</f>
        <v>18.9823853265467</v>
      </c>
    </row>
    <row r="19" customFormat="false" ht="15" hidden="false" customHeight="true" outlineLevel="0" collapsed="false">
      <c r="A19" s="5" t="s">
        <v>812</v>
      </c>
      <c r="C19" s="98" t="n">
        <f aca="false">C15/C10</f>
        <v>3.86984355038023</v>
      </c>
      <c r="D19" s="98" t="n">
        <f aca="false">D15/D10</f>
        <v>2.75679028157021</v>
      </c>
      <c r="E19" s="98" t="n">
        <f aca="false">E15/E10</f>
        <v>3.8478785822723</v>
      </c>
      <c r="F19" s="98" t="n">
        <f aca="false">F15/F10</f>
        <v>3.30136153605582</v>
      </c>
      <c r="G19" s="98" t="n">
        <f aca="false">G15/G10</f>
        <v>2.77735113299701</v>
      </c>
    </row>
    <row r="20" customFormat="false" ht="15" hidden="false" customHeight="true" outlineLevel="0" collapsed="false">
      <c r="A20" s="5" t="s">
        <v>813</v>
      </c>
      <c r="C20" s="98" t="n">
        <f aca="false">C6/C11</f>
        <v>40.7948103483818</v>
      </c>
      <c r="D20" s="98" t="n">
        <f aca="false">D6/D11</f>
        <v>43.8523900979759</v>
      </c>
      <c r="E20" s="98" t="n">
        <f aca="false">E6/E11</f>
        <v>54.1563700144099</v>
      </c>
      <c r="F20" s="98" t="n">
        <f aca="false">F6/F11</f>
        <v>35.8043948225378</v>
      </c>
      <c r="G20" s="98" t="n">
        <f aca="false">G6/G11</f>
        <v>122.942000560381</v>
      </c>
    </row>
    <row r="21" customFormat="false" ht="15" hidden="false" customHeight="true" outlineLevel="0" collapsed="false">
      <c r="A21" s="5" t="s">
        <v>814</v>
      </c>
      <c r="C21" s="98" t="n">
        <f aca="false">C6/C12</f>
        <v>4.24080777495042</v>
      </c>
      <c r="D21" s="98" t="n">
        <f aca="false">D6/D12</f>
        <v>1.6697468394529</v>
      </c>
      <c r="E21" s="98" t="n">
        <f aca="false">E6/E12</f>
        <v>3.68956449119565</v>
      </c>
      <c r="F21" s="98" t="n">
        <f aca="false">F6/F12</f>
        <v>5.63910422544924</v>
      </c>
      <c r="G21" s="98" t="n">
        <f aca="false">G6/G12</f>
        <v>2.69442435064975</v>
      </c>
    </row>
    <row r="22" customFormat="false" ht="15" hidden="false" customHeight="true" outlineLevel="0" collapsed="false">
      <c r="A22" s="5" t="s">
        <v>815</v>
      </c>
      <c r="C22" s="27" t="n">
        <f aca="false">C11/C12</f>
        <v>0.103954589780772</v>
      </c>
      <c r="D22" s="27" t="n">
        <f aca="false">D11/D12</f>
        <v>0.0380765298247672</v>
      </c>
      <c r="E22" s="27" t="n">
        <f aca="false">E11/E12</f>
        <v>0.0681279873487447</v>
      </c>
      <c r="F22" s="27" t="n">
        <f aca="false">F11/F12</f>
        <v>0.157497543343466</v>
      </c>
      <c r="G22" s="27" t="n">
        <f aca="false">G11/G12</f>
        <v>0.0219162234091548</v>
      </c>
    </row>
    <row r="23" customFormat="false" ht="15" hidden="false" customHeight="true" outlineLevel="0" collapsed="false">
      <c r="A23" s="5" t="s">
        <v>224</v>
      </c>
      <c r="C23" s="99" t="n">
        <v>0.047</v>
      </c>
      <c r="D23" s="99" t="n">
        <v>0</v>
      </c>
      <c r="E23" s="99" t="n">
        <v>0.035</v>
      </c>
      <c r="F23" s="99" t="n">
        <v>0.052</v>
      </c>
      <c r="G23" s="99" t="n">
        <v>0.022</v>
      </c>
    </row>
    <row r="25" customFormat="false" ht="15" hidden="false" customHeight="true" outlineLevel="0" collapsed="false">
      <c r="A25" s="8" t="s">
        <v>816</v>
      </c>
      <c r="B25" s="8"/>
      <c r="C25" s="8"/>
      <c r="D25" s="8"/>
      <c r="E25" s="8"/>
      <c r="F25" s="8"/>
      <c r="G25" s="8"/>
      <c r="H25" s="8"/>
    </row>
    <row r="26" customFormat="false" ht="39" hidden="false" customHeight="true" outlineLevel="0" collapsed="false">
      <c r="A26" s="4" t="s">
        <v>817</v>
      </c>
      <c r="B26" s="4"/>
      <c r="C26" s="4" t="s">
        <v>818</v>
      </c>
      <c r="D26" s="4" t="s">
        <v>819</v>
      </c>
      <c r="E26" s="4" t="s">
        <v>820</v>
      </c>
      <c r="F26" s="4" t="s">
        <v>821</v>
      </c>
      <c r="G26" s="4" t="s">
        <v>822</v>
      </c>
      <c r="H26" s="4" t="s">
        <v>823</v>
      </c>
    </row>
    <row r="27" customFormat="false" ht="15" hidden="false" customHeight="true" outlineLevel="0" collapsed="false">
      <c r="A27" s="5" t="s">
        <v>811</v>
      </c>
      <c r="C27" s="100" t="n">
        <f aca="false">MIN(D18:G18)</f>
        <v>16.9997591092531</v>
      </c>
      <c r="D27" s="100" t="n">
        <f aca="false">QUARTILE(D18:G18,1)</f>
        <v>18.4867287722233</v>
      </c>
      <c r="E27" s="100" t="n">
        <f aca="false">MEDIAN(D18:G18)</f>
        <v>19.0165516880044</v>
      </c>
      <c r="F27" s="100" t="n">
        <f aca="false">QUARTILE(D18:G18,3)</f>
        <v>19.2103547975937</v>
      </c>
      <c r="G27" s="100" t="n">
        <f aca="false">MAX(D18:G18)</f>
        <v>19.6892650419888</v>
      </c>
      <c r="H27" s="100" t="n">
        <f aca="false">(D6*D18+E6*E18+F6*F18+G6*G18)/(D6+E6+F6+G6)</f>
        <v>18.3123613148091</v>
      </c>
    </row>
    <row r="28" customFormat="false" ht="15" hidden="false" customHeight="true" outlineLevel="0" collapsed="false">
      <c r="A28" s="5" t="s">
        <v>812</v>
      </c>
      <c r="C28" s="100" t="n">
        <f aca="false">MIN(D19:G19)</f>
        <v>2.75679028157021</v>
      </c>
      <c r="D28" s="100" t="n">
        <f aca="false">QUARTILE(D19:G19,1)</f>
        <v>2.77221092014031</v>
      </c>
      <c r="E28" s="100" t="n">
        <f aca="false">MEDIAN(D19:G19)</f>
        <v>3.03935633452642</v>
      </c>
      <c r="F28" s="100" t="n">
        <f aca="false">QUARTILE(D19:G19,3)</f>
        <v>3.43799079760994</v>
      </c>
      <c r="G28" s="100" t="n">
        <f aca="false">MAX(D19:G19)</f>
        <v>3.8478785822723</v>
      </c>
      <c r="H28" s="100" t="n">
        <f aca="false">(D6*D19+E6*E19+F6*F19+G6*G19)/(D6+E6+F6+G6)</f>
        <v>3.21889416529134</v>
      </c>
    </row>
    <row r="29" customFormat="false" ht="15" hidden="false" customHeight="true" outlineLevel="0" collapsed="false">
      <c r="A29" s="5" t="s">
        <v>813</v>
      </c>
      <c r="C29" s="100" t="n">
        <f aca="false">MIN(D20:G20)</f>
        <v>35.8043948225378</v>
      </c>
      <c r="D29" s="100" t="n">
        <f aca="false">QUARTILE(D20:G20,1)</f>
        <v>41.8403912791164</v>
      </c>
      <c r="E29" s="100" t="n">
        <f aca="false">MEDIAN(D20:G20)</f>
        <v>49.0043800561929</v>
      </c>
      <c r="F29" s="100" t="n">
        <f aca="false">QUARTILE(D20:G20,3)</f>
        <v>71.3527776509027</v>
      </c>
      <c r="G29" s="100" t="n">
        <f aca="false">MAX(D20:G20)</f>
        <v>122.942000560381</v>
      </c>
      <c r="H29" s="100" t="n">
        <f aca="false">(D6*D20+E6*E20+F6*F20+G6*G20)/(D6+E6+F6+G6)</f>
        <v>53.2016036281323</v>
      </c>
    </row>
    <row r="30" customFormat="false" ht="15" hidden="false" customHeight="true" outlineLevel="0" collapsed="false">
      <c r="A30" s="5" t="s">
        <v>814</v>
      </c>
      <c r="C30" s="100" t="n">
        <f aca="false">MIN(D21:G21)</f>
        <v>1.6697468394529</v>
      </c>
      <c r="D30" s="100" t="n">
        <f aca="false">QUARTILE(D21:G21,1)</f>
        <v>2.43825497285054</v>
      </c>
      <c r="E30" s="100" t="n">
        <f aca="false">MEDIAN(D21:G21)</f>
        <v>3.1919944209227</v>
      </c>
      <c r="F30" s="100" t="n">
        <f aca="false">QUARTILE(D21:G21,3)</f>
        <v>4.17694942475905</v>
      </c>
      <c r="G30" s="100" t="n">
        <f aca="false">MAX(D21:G21)</f>
        <v>5.63910422544924</v>
      </c>
      <c r="H30" s="100" t="n">
        <f aca="false">(D6*D21+E6*E21+F6*F21+G6*G21)/(D6+E6+F6+G6)</f>
        <v>3.09179805317391</v>
      </c>
    </row>
    <row r="32" customFormat="false" ht="15" hidden="false" customHeight="true" outlineLevel="0" collapsed="false">
      <c r="A32" s="8" t="s">
        <v>824</v>
      </c>
      <c r="B32" s="8"/>
      <c r="C32" s="8"/>
      <c r="D32" s="8"/>
      <c r="E32" s="8"/>
      <c r="F32" s="8"/>
      <c r="G32" s="8"/>
      <c r="H32" s="8"/>
    </row>
    <row r="33" customFormat="false" ht="26.25" hidden="false" customHeight="true" outlineLevel="0" collapsed="false">
      <c r="A33" s="4" t="s">
        <v>253</v>
      </c>
      <c r="B33" s="4"/>
      <c r="C33" s="4" t="s">
        <v>825</v>
      </c>
      <c r="D33" s="4" t="s">
        <v>826</v>
      </c>
      <c r="E33" s="4" t="s">
        <v>827</v>
      </c>
      <c r="F33" s="4" t="s">
        <v>823</v>
      </c>
      <c r="G33" s="4"/>
      <c r="H33" s="4"/>
    </row>
    <row r="34" customFormat="false" ht="15" hidden="false" customHeight="true" outlineLevel="0" collapsed="false">
      <c r="A34" s="5" t="s">
        <v>828</v>
      </c>
      <c r="C34" s="46" t="n">
        <f aca="false">D27</f>
        <v>18.4867287722233</v>
      </c>
      <c r="D34" s="46" t="n">
        <f aca="false">E27</f>
        <v>19.0165516880044</v>
      </c>
      <c r="E34" s="46" t="n">
        <f aca="false">F27</f>
        <v>19.2103547975937</v>
      </c>
      <c r="F34" s="46" t="n">
        <f aca="false">H27</f>
        <v>18.3123613148091</v>
      </c>
    </row>
    <row r="35" customFormat="false" ht="15" hidden="false" customHeight="true" outlineLevel="0" collapsed="false">
      <c r="A35" s="6" t="s">
        <v>829</v>
      </c>
      <c r="C35" s="38" t="n">
        <f aca="false">C34*C9-C7-C8</f>
        <v>275954.148635185</v>
      </c>
      <c r="D35" s="38" t="n">
        <f aca="false">D34*C9-C7-C8</f>
        <v>284334.172256074</v>
      </c>
      <c r="E35" s="38" t="n">
        <f aca="false">E34*C9-C7-C8</f>
        <v>287399.488209361</v>
      </c>
      <c r="F35" s="38" t="n">
        <f aca="false">F34*C9-C7-C8</f>
        <v>273196.239589875</v>
      </c>
    </row>
    <row r="36" customFormat="false" ht="15" hidden="false" customHeight="true" outlineLevel="0" collapsed="false">
      <c r="A36" s="6" t="s">
        <v>830</v>
      </c>
      <c r="C36" s="101" t="n">
        <f aca="false">C35/C13</f>
        <v>9364.53606064834</v>
      </c>
      <c r="D36" s="101" t="n">
        <f aca="false">D35/C13</f>
        <v>9648.91313479279</v>
      </c>
      <c r="E36" s="101" t="n">
        <f aca="false">E35/C13</f>
        <v>9752.93498742233</v>
      </c>
      <c r="F36" s="101" t="n">
        <f aca="false">F35/C13</f>
        <v>9270.94609711808</v>
      </c>
    </row>
    <row r="38" customFormat="false" ht="15" hidden="false" customHeight="true" outlineLevel="0" collapsed="false">
      <c r="A38" s="5" t="s">
        <v>831</v>
      </c>
      <c r="C38" s="46" t="n">
        <f aca="false">D29</f>
        <v>41.8403912791164</v>
      </c>
      <c r="D38" s="46" t="n">
        <f aca="false">E29</f>
        <v>49.0043800561929</v>
      </c>
      <c r="E38" s="46" t="n">
        <f aca="false">F29</f>
        <v>71.3527776509027</v>
      </c>
      <c r="F38" s="46" t="n">
        <f aca="false">H29</f>
        <v>53.2016036281323</v>
      </c>
    </row>
    <row r="39" customFormat="false" ht="15" hidden="false" customHeight="true" outlineLevel="0" collapsed="false">
      <c r="A39" s="6" t="s">
        <v>829</v>
      </c>
      <c r="C39" s="38" t="n">
        <f aca="false">C38*C11</f>
        <v>324748.38095199</v>
      </c>
      <c r="D39" s="38" t="n">
        <f aca="false">D38*C11</f>
        <v>380352.396244147</v>
      </c>
      <c r="E39" s="38" t="n">
        <f aca="false">E38*C11</f>
        <v>553811.719015246</v>
      </c>
      <c r="F39" s="38" t="n">
        <f aca="false">F38*C11</f>
        <v>412929.566720112</v>
      </c>
    </row>
    <row r="40" customFormat="false" ht="15" hidden="false" customHeight="true" outlineLevel="0" collapsed="false">
      <c r="A40" s="6" t="s">
        <v>832</v>
      </c>
      <c r="C40" s="101" t="n">
        <f aca="false">C39/C13</f>
        <v>11020.3739972848</v>
      </c>
      <c r="D40" s="101" t="n">
        <f aca="false">D39/C13</f>
        <v>12907.3027095204</v>
      </c>
      <c r="E40" s="101" t="n">
        <f aca="false">E39/C13</f>
        <v>18793.6649591165</v>
      </c>
      <c r="F40" s="101" t="n">
        <f aca="false">F39/C13</f>
        <v>14012.8127704667</v>
      </c>
    </row>
    <row r="42" customFormat="false" ht="15" hidden="false" customHeight="true" outlineLevel="0" collapsed="false">
      <c r="A42" s="5" t="s">
        <v>833</v>
      </c>
      <c r="C42" s="46" t="n">
        <f aca="false">D30</f>
        <v>2.43825497285054</v>
      </c>
      <c r="D42" s="46" t="n">
        <f aca="false">E30</f>
        <v>3.1919944209227</v>
      </c>
      <c r="E42" s="46" t="n">
        <f aca="false">F30</f>
        <v>4.17694942475905</v>
      </c>
      <c r="F42" s="46" t="n">
        <f aca="false">H30</f>
        <v>3.09179805317391</v>
      </c>
    </row>
    <row r="43" customFormat="false" ht="15" hidden="false" customHeight="true" outlineLevel="0" collapsed="false">
      <c r="A43" s="6" t="s">
        <v>829</v>
      </c>
      <c r="C43" s="38" t="n">
        <f aca="false">C42*C12</f>
        <v>182048.33319228</v>
      </c>
      <c r="D43" s="38" t="n">
        <f aca="false">D42*C12</f>
        <v>238325.060487287</v>
      </c>
      <c r="E43" s="38" t="n">
        <f aca="false">E42*C12</f>
        <v>311865.120372072</v>
      </c>
      <c r="F43" s="38" t="n">
        <f aca="false">F42*C12</f>
        <v>230844.062009403</v>
      </c>
    </row>
    <row r="44" customFormat="false" ht="15" hidden="false" customHeight="true" outlineLevel="0" collapsed="false">
      <c r="A44" s="6" t="s">
        <v>834</v>
      </c>
      <c r="C44" s="101" t="n">
        <f aca="false">C43/C13</f>
        <v>6177.83131506311</v>
      </c>
      <c r="D44" s="101" t="n">
        <f aca="false">D43/C13</f>
        <v>8087.58858718906</v>
      </c>
      <c r="E44" s="101" t="n">
        <f aca="false">E43/C13</f>
        <v>10583.1790542986</v>
      </c>
      <c r="F44" s="101" t="n">
        <f aca="false">F43/C13</f>
        <v>7833.72003561162</v>
      </c>
    </row>
    <row r="46" customFormat="false" ht="15" hidden="false" customHeight="true" outlineLevel="0" collapsed="false">
      <c r="A46" s="8" t="s">
        <v>835</v>
      </c>
      <c r="B46" s="8"/>
      <c r="C46" s="8"/>
      <c r="D46" s="8"/>
      <c r="E46" s="8"/>
      <c r="F46" s="8"/>
      <c r="G46" s="8"/>
      <c r="H46" s="8"/>
    </row>
    <row r="47" customFormat="false" ht="26.25" hidden="false" customHeight="true" outlineLevel="0" collapsed="false">
      <c r="A47" s="4" t="s">
        <v>836</v>
      </c>
      <c r="B47" s="4"/>
      <c r="C47" s="4" t="s">
        <v>272</v>
      </c>
      <c r="D47" s="4" t="s">
        <v>837</v>
      </c>
      <c r="E47" s="4"/>
      <c r="F47" s="4"/>
    </row>
    <row r="48" customFormat="false" ht="15" hidden="false" customHeight="true" outlineLevel="0" collapsed="false">
      <c r="A48" s="6" t="s">
        <v>838</v>
      </c>
      <c r="C48" s="102" t="n">
        <v>4747.5637</v>
      </c>
      <c r="D48" s="103" t="n">
        <f aca="false">IFERROR(C48/$C$52-1,"")</f>
        <v>-0.558159838361728</v>
      </c>
    </row>
    <row r="49" customFormat="false" ht="15" hidden="false" customHeight="true" outlineLevel="0" collapsed="false">
      <c r="A49" s="6" t="s">
        <v>839</v>
      </c>
      <c r="C49" s="85" t="n">
        <f aca="false">D36</f>
        <v>9648.91313479279</v>
      </c>
      <c r="D49" s="103" t="n">
        <f aca="false">IFERROR(C49/$C$52-1,"")</f>
        <v>-0.102007343448495</v>
      </c>
    </row>
    <row r="50" customFormat="false" ht="15" hidden="false" customHeight="true" outlineLevel="0" collapsed="false">
      <c r="A50" s="6" t="s">
        <v>840</v>
      </c>
      <c r="C50" s="85" t="n">
        <f aca="false">D40</f>
        <v>12907.3027095204</v>
      </c>
      <c r="D50" s="103" t="n">
        <f aca="false">IFERROR(C50/$C$52-1,"")</f>
        <v>0.201240273087561</v>
      </c>
    </row>
    <row r="51" customFormat="false" ht="15" hidden="false" customHeight="true" outlineLevel="0" collapsed="false">
      <c r="A51" s="6" t="s">
        <v>841</v>
      </c>
      <c r="C51" s="85" t="n">
        <f aca="false">D44</f>
        <v>8087.58858718906</v>
      </c>
      <c r="D51" s="103" t="n">
        <f aca="false">IFERROR(C51/$C$52-1,"")</f>
        <v>-0.247314691401095</v>
      </c>
    </row>
    <row r="52" customFormat="false" ht="15" hidden="false" customHeight="true" outlineLevel="0" collapsed="false">
      <c r="A52" s="6" t="s">
        <v>842</v>
      </c>
      <c r="C52" s="85" t="n">
        <v>10744.98</v>
      </c>
      <c r="D52" s="104"/>
    </row>
    <row r="54" customFormat="false" ht="15" hidden="false" customHeight="true" outlineLevel="0" collapsed="false">
      <c r="A54" s="6" t="s">
        <v>843</v>
      </c>
      <c r="C54" s="100" t="n">
        <f aca="false">(C48*C13+C7+C8)/C9</f>
        <v>9.88484774662144</v>
      </c>
      <c r="E54" s="3" t="s">
        <v>844</v>
      </c>
    </row>
    <row r="56" customFormat="false" ht="75" hidden="false" customHeight="true" outlineLevel="0" collapsed="false">
      <c r="A56" s="16" t="s">
        <v>845</v>
      </c>
      <c r="B56" s="16"/>
      <c r="C56" s="16"/>
      <c r="D56" s="16"/>
      <c r="E56" s="16"/>
      <c r="F56" s="16"/>
      <c r="G56" s="16"/>
      <c r="H56" s="16"/>
    </row>
    <row r="61" customFormat="false" ht="60" hidden="false" customHeight="true" outlineLevel="0" collapsed="false">
      <c r="A61" s="16" t="s">
        <v>846</v>
      </c>
      <c r="B61" s="16"/>
      <c r="C61" s="16"/>
      <c r="D61" s="16"/>
      <c r="E61" s="16"/>
      <c r="F61" s="16"/>
      <c r="G61" s="16"/>
      <c r="H61" s="16"/>
    </row>
    <row r="65" customFormat="false" ht="75" hidden="false" customHeight="true" outlineLevel="0" collapsed="false">
      <c r="A65" s="105" t="s">
        <v>847</v>
      </c>
      <c r="B65" s="105"/>
      <c r="C65" s="105"/>
      <c r="D65" s="105"/>
      <c r="E65" s="105"/>
      <c r="F65" s="105"/>
      <c r="G65" s="105"/>
      <c r="H65" s="105"/>
    </row>
    <row r="70" customFormat="false" ht="120" hidden="false" customHeight="true" outlineLevel="0" collapsed="false">
      <c r="A70" s="33" t="s">
        <v>848</v>
      </c>
      <c r="B70" s="33"/>
      <c r="C70" s="33"/>
      <c r="D70" s="33"/>
      <c r="E70" s="33"/>
      <c r="F70" s="33"/>
      <c r="G70" s="33"/>
      <c r="H70" s="33"/>
    </row>
    <row r="73" customFormat="false" ht="15" hidden="false" customHeight="true" outlineLevel="0" collapsed="false">
      <c r="A73" s="8" t="s">
        <v>849</v>
      </c>
      <c r="B73" s="8"/>
      <c r="C73" s="8"/>
      <c r="D73" s="8"/>
      <c r="E73" s="8"/>
      <c r="F73" s="8"/>
      <c r="G73" s="8"/>
      <c r="H73" s="8"/>
    </row>
    <row r="74" customFormat="false" ht="75" hidden="false" customHeight="true" outlineLevel="0" collapsed="false">
      <c r="A74" s="16" t="s">
        <v>850</v>
      </c>
      <c r="B74" s="16"/>
      <c r="C74" s="16"/>
      <c r="D74" s="16"/>
      <c r="E74" s="16"/>
      <c r="F74" s="16"/>
      <c r="G74" s="16"/>
      <c r="H74" s="16"/>
    </row>
    <row r="78" customFormat="false" ht="39" hidden="false" customHeight="true" outlineLevel="0" collapsed="false">
      <c r="A78" s="17" t="s">
        <v>851</v>
      </c>
      <c r="B78" s="17"/>
      <c r="C78" s="17" t="s">
        <v>794</v>
      </c>
      <c r="D78" s="17" t="s">
        <v>795</v>
      </c>
      <c r="E78" s="17"/>
      <c r="F78" s="17" t="s">
        <v>852</v>
      </c>
      <c r="G78" s="17"/>
      <c r="H78" s="17"/>
    </row>
    <row r="79" customFormat="false" ht="15" hidden="false" customHeight="true" outlineLevel="0" collapsed="false">
      <c r="A79" s="5" t="s">
        <v>853</v>
      </c>
      <c r="C79" s="25" t="n">
        <v>333077</v>
      </c>
      <c r="D79" s="25" t="n">
        <v>111501</v>
      </c>
      <c r="F79" s="106" t="n">
        <f aca="false">D79/C79</f>
        <v>0.334760430771263</v>
      </c>
    </row>
    <row r="80" customFormat="false" ht="15" hidden="false" customHeight="true" outlineLevel="0" collapsed="false">
      <c r="A80" s="5" t="s">
        <v>854</v>
      </c>
      <c r="C80" s="25" t="n">
        <v>86090</v>
      </c>
      <c r="D80" s="25" t="n">
        <v>67208</v>
      </c>
      <c r="F80" s="106" t="n">
        <f aca="false">D80/C80</f>
        <v>0.78067139040539</v>
      </c>
    </row>
    <row r="81" customFormat="false" ht="15" hidden="false" customHeight="true" outlineLevel="0" collapsed="false">
      <c r="A81" s="5" t="s">
        <v>855</v>
      </c>
      <c r="C81" s="25" t="n">
        <v>15439</v>
      </c>
      <c r="D81" s="25" t="n">
        <v>6559</v>
      </c>
      <c r="F81" s="106" t="n">
        <f aca="false">D81/C81</f>
        <v>0.424833214586437</v>
      </c>
    </row>
    <row r="82" customFormat="false" ht="15" hidden="false" customHeight="true" outlineLevel="0" collapsed="false">
      <c r="A82" s="6" t="s">
        <v>856</v>
      </c>
      <c r="C82" s="88" t="n">
        <f aca="false">C79/C81</f>
        <v>21.5737418226569</v>
      </c>
      <c r="D82" s="88" t="n">
        <f aca="false">D79/D81</f>
        <v>16.9996950754688</v>
      </c>
      <c r="F82" s="107" t="n">
        <f aca="false">D82/C82</f>
        <v>0.787980834071891</v>
      </c>
    </row>
    <row r="83" customFormat="false" ht="15" hidden="false" customHeight="true" outlineLevel="0" collapsed="false">
      <c r="A83" s="6" t="s">
        <v>857</v>
      </c>
      <c r="C83" s="88" t="n">
        <f aca="false">C79/C80</f>
        <v>3.86893948193751</v>
      </c>
      <c r="D83" s="88" t="n">
        <f aca="false">D79/D80</f>
        <v>1.65904356624211</v>
      </c>
      <c r="F83" s="107" t="n">
        <f aca="false">D83/C83</f>
        <v>0.428810937464261</v>
      </c>
    </row>
    <row r="84" customFormat="false" ht="15" hidden="false" customHeight="true" outlineLevel="0" collapsed="false">
      <c r="A84" s="6" t="s">
        <v>858</v>
      </c>
      <c r="C84" s="99" t="n">
        <v>0.108</v>
      </c>
      <c r="D84" s="99" t="n">
        <v>0.033</v>
      </c>
      <c r="F84" s="107" t="n">
        <f aca="false">D84/C84</f>
        <v>0.305555555555556</v>
      </c>
    </row>
    <row r="85" customFormat="false" ht="15" hidden="false" customHeight="true" outlineLevel="0" collapsed="false">
      <c r="A85" s="5" t="s">
        <v>859</v>
      </c>
      <c r="C85" s="99" t="n">
        <v>0.158</v>
      </c>
      <c r="D85" s="99" t="n">
        <v>0.09</v>
      </c>
      <c r="F85" s="106" t="n">
        <f aca="false">D85/C85</f>
        <v>0.569620253164557</v>
      </c>
    </row>
    <row r="86" customFormat="false" ht="15" hidden="false" customHeight="true" outlineLevel="0" collapsed="false">
      <c r="A86" s="5" t="s">
        <v>860</v>
      </c>
      <c r="C86" s="99" t="n">
        <v>0.104</v>
      </c>
      <c r="D86" s="99" t="n">
        <v>0.038</v>
      </c>
      <c r="F86" s="106" t="n">
        <f aca="false">D86/C86</f>
        <v>0.365384615384615</v>
      </c>
    </row>
    <row r="87" customFormat="false" ht="15" hidden="false" customHeight="true" outlineLevel="0" collapsed="false">
      <c r="A87" s="5" t="s">
        <v>861</v>
      </c>
      <c r="C87" s="108" t="n">
        <v>4.24</v>
      </c>
      <c r="D87" s="108" t="n">
        <v>1.67</v>
      </c>
      <c r="F87" s="106" t="n">
        <f aca="false">D87/C87</f>
        <v>0.393867924528302</v>
      </c>
    </row>
    <row r="89" customFormat="false" ht="60" hidden="false" customHeight="true" outlineLevel="0" collapsed="false">
      <c r="A89" s="33" t="s">
        <v>862</v>
      </c>
      <c r="B89" s="33"/>
      <c r="C89" s="33"/>
      <c r="D89" s="33"/>
      <c r="E89" s="33"/>
      <c r="F89" s="33"/>
      <c r="G89" s="33"/>
      <c r="H89" s="33"/>
    </row>
    <row r="93" customFormat="false" ht="15" hidden="false" customHeight="true" outlineLevel="0" collapsed="false">
      <c r="A93" s="8" t="s">
        <v>863</v>
      </c>
      <c r="B93" s="8"/>
      <c r="C93" s="8"/>
      <c r="D93" s="8"/>
      <c r="E93" s="8"/>
      <c r="F93" s="8"/>
      <c r="G93" s="8"/>
      <c r="H93" s="8"/>
    </row>
    <row r="94" customFormat="false" ht="26.25" hidden="false" customHeight="true" outlineLevel="0" collapsed="false">
      <c r="A94" s="17" t="s">
        <v>864</v>
      </c>
      <c r="B94" s="17"/>
      <c r="C94" s="17" t="s">
        <v>794</v>
      </c>
      <c r="D94" s="17" t="s">
        <v>795</v>
      </c>
      <c r="E94" s="17"/>
      <c r="F94" s="17" t="s">
        <v>661</v>
      </c>
      <c r="G94" s="17"/>
      <c r="H94" s="17"/>
    </row>
    <row r="95" customFormat="false" ht="15" hidden="false" customHeight="true" outlineLevel="0" collapsed="false">
      <c r="A95" s="5" t="s">
        <v>865</v>
      </c>
      <c r="C95" s="99" t="n">
        <v>0.0699</v>
      </c>
      <c r="D95" s="99" t="n">
        <v>0.0699</v>
      </c>
    </row>
    <row r="96" customFormat="false" ht="15" hidden="false" customHeight="true" outlineLevel="0" collapsed="false">
      <c r="A96" s="5" t="s">
        <v>712</v>
      </c>
      <c r="C96" s="99" t="n">
        <v>0.11331</v>
      </c>
      <c r="D96" s="99" t="n">
        <v>0.11375</v>
      </c>
    </row>
    <row r="97" customFormat="false" ht="15" hidden="false" customHeight="true" outlineLevel="0" collapsed="false">
      <c r="A97" s="5" t="s">
        <v>858</v>
      </c>
      <c r="C97" s="99" t="n">
        <v>0.108</v>
      </c>
      <c r="D97" s="99" t="n">
        <v>0.033</v>
      </c>
    </row>
    <row r="98" customFormat="false" ht="15" hidden="false" customHeight="true" outlineLevel="0" collapsed="false">
      <c r="A98" s="5" t="s">
        <v>859</v>
      </c>
      <c r="C98" s="99" t="n">
        <v>0.158</v>
      </c>
      <c r="D98" s="99" t="n">
        <v>0.09</v>
      </c>
    </row>
    <row r="99" customFormat="false" ht="15" hidden="false" customHeight="true" outlineLevel="0" collapsed="false">
      <c r="A99" s="6" t="s">
        <v>866</v>
      </c>
      <c r="C99" s="88" t="n">
        <f aca="false">(C97-C95)/(C96-C95)</f>
        <v>0.87767795438839</v>
      </c>
      <c r="D99" s="88" t="n">
        <f aca="false">(D97-D95)/(D96-D95)</f>
        <v>-0.841505131128848</v>
      </c>
    </row>
    <row r="100" customFormat="false" ht="15" hidden="false" customHeight="true" outlineLevel="0" collapsed="false">
      <c r="A100" s="6" t="s">
        <v>867</v>
      </c>
      <c r="C100" s="88" t="n">
        <f aca="false">(C98-C95)/(C96-C95)</f>
        <v>2.02948629348077</v>
      </c>
      <c r="D100" s="88" t="n">
        <f aca="false">(D98-D95)/(D96-D95)</f>
        <v>0.458380843785633</v>
      </c>
    </row>
    <row r="101" customFormat="false" ht="15" hidden="false" customHeight="true" outlineLevel="0" collapsed="false">
      <c r="A101" s="6" t="s">
        <v>868</v>
      </c>
      <c r="C101" s="109" t="n">
        <f aca="false">C79/C80</f>
        <v>3.86893948193751</v>
      </c>
      <c r="D101" s="109" t="n">
        <f aca="false">D79/D80</f>
        <v>1.65904356624211</v>
      </c>
    </row>
    <row r="102" customFormat="false" ht="15" hidden="false" customHeight="true" outlineLevel="0" collapsed="false">
      <c r="A102" s="6" t="s">
        <v>869</v>
      </c>
      <c r="C102" s="110" t="n">
        <f aca="false">C101/C100</f>
        <v>1.90636393769475</v>
      </c>
      <c r="D102" s="110" t="n">
        <f aca="false">D101/D100</f>
        <v>3.61935623779685</v>
      </c>
    </row>
    <row r="104" customFormat="false" ht="135" hidden="false" customHeight="true" outlineLevel="0" collapsed="false">
      <c r="A104" s="33" t="s">
        <v>870</v>
      </c>
      <c r="B104" s="33"/>
      <c r="C104" s="33"/>
      <c r="D104" s="33"/>
      <c r="E104" s="33"/>
      <c r="F104" s="33"/>
      <c r="G104" s="33"/>
      <c r="H104" s="33"/>
    </row>
  </sheetData>
  <mergeCells count="13">
    <mergeCell ref="A17:G17"/>
    <mergeCell ref="A25:H25"/>
    <mergeCell ref="A32:H32"/>
    <mergeCell ref="A46:H46"/>
    <mergeCell ref="A56:H56"/>
    <mergeCell ref="A61:H61"/>
    <mergeCell ref="A65:H65"/>
    <mergeCell ref="A70:H70"/>
    <mergeCell ref="A73:H73"/>
    <mergeCell ref="A74:H74"/>
    <mergeCell ref="A89:H89"/>
    <mergeCell ref="A93:H93"/>
    <mergeCell ref="A104:H1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11"/>
    <col collapsed="false" customWidth="true" hidden="false" outlineLevel="0" max="4" min="4" style="1" width="84"/>
  </cols>
  <sheetData>
    <row r="1" customFormat="false" ht="17.25" hidden="false" customHeight="true" outlineLevel="0" collapsed="false">
      <c r="A1" s="2" t="s">
        <v>871</v>
      </c>
    </row>
    <row r="2" customFormat="false" ht="15" hidden="false" customHeight="true" outlineLevel="0" collapsed="false">
      <c r="A2" s="3" t="s">
        <v>872</v>
      </c>
    </row>
    <row r="4" customFormat="false" ht="15" hidden="false" customHeight="true" outlineLevel="0" collapsed="false">
      <c r="A4" s="8" t="s">
        <v>873</v>
      </c>
      <c r="B4" s="8"/>
      <c r="C4" s="8"/>
      <c r="D4" s="8"/>
    </row>
    <row r="5" customFormat="false" ht="15" hidden="false" customHeight="true" outlineLevel="0" collapsed="false">
      <c r="A5" s="4" t="s">
        <v>48</v>
      </c>
      <c r="B5" s="4" t="s">
        <v>874</v>
      </c>
      <c r="C5" s="4" t="s">
        <v>661</v>
      </c>
      <c r="D5" s="4" t="s">
        <v>875</v>
      </c>
    </row>
    <row r="6" customFormat="false" ht="60" hidden="false" customHeight="true" outlineLevel="0" collapsed="false">
      <c r="A6" s="5" t="n">
        <v>1</v>
      </c>
      <c r="B6" s="6" t="s">
        <v>9</v>
      </c>
      <c r="C6" s="21" t="s">
        <v>876</v>
      </c>
      <c r="D6" s="19" t="s">
        <v>877</v>
      </c>
    </row>
    <row r="7" customFormat="false" ht="75" hidden="false" customHeight="true" outlineLevel="0" collapsed="false">
      <c r="A7" s="5" t="n">
        <v>2</v>
      </c>
      <c r="B7" s="6" t="s">
        <v>878</v>
      </c>
      <c r="C7" s="21" t="s">
        <v>876</v>
      </c>
      <c r="D7" s="19" t="s">
        <v>879</v>
      </c>
    </row>
    <row r="8" customFormat="false" ht="105" hidden="false" customHeight="true" outlineLevel="0" collapsed="false">
      <c r="A8" s="5" t="n">
        <v>3</v>
      </c>
      <c r="B8" s="6" t="s">
        <v>880</v>
      </c>
      <c r="C8" s="21" t="s">
        <v>876</v>
      </c>
      <c r="D8" s="19" t="s">
        <v>881</v>
      </c>
    </row>
    <row r="9" customFormat="false" ht="60" hidden="false" customHeight="true" outlineLevel="0" collapsed="false">
      <c r="A9" s="5" t="n">
        <v>4</v>
      </c>
      <c r="B9" s="6" t="s">
        <v>882</v>
      </c>
      <c r="C9" s="21" t="s">
        <v>876</v>
      </c>
      <c r="D9" s="19" t="s">
        <v>883</v>
      </c>
    </row>
    <row r="10" customFormat="false" ht="120" hidden="false" customHeight="true" outlineLevel="0" collapsed="false">
      <c r="A10" s="5" t="n">
        <v>5</v>
      </c>
      <c r="B10" s="6" t="s">
        <v>884</v>
      </c>
      <c r="C10" s="20" t="s">
        <v>885</v>
      </c>
      <c r="D10" s="19" t="s">
        <v>886</v>
      </c>
    </row>
    <row r="12" customFormat="false" ht="15" hidden="false" customHeight="true" outlineLevel="0" collapsed="false">
      <c r="A12" s="8" t="s">
        <v>887</v>
      </c>
      <c r="B12" s="8"/>
      <c r="C12" s="8"/>
      <c r="D12" s="8"/>
    </row>
    <row r="13" customFormat="false" ht="15" hidden="false" customHeight="true" outlineLevel="0" collapsed="false">
      <c r="A13" s="4" t="s">
        <v>48</v>
      </c>
      <c r="B13" s="4" t="s">
        <v>888</v>
      </c>
      <c r="C13" s="4" t="s">
        <v>661</v>
      </c>
      <c r="D13" s="4" t="s">
        <v>875</v>
      </c>
    </row>
    <row r="14" customFormat="false" ht="30" hidden="false" customHeight="true" outlineLevel="0" collapsed="false">
      <c r="A14" s="5" t="n">
        <v>1</v>
      </c>
      <c r="B14" s="111" t="s">
        <v>889</v>
      </c>
      <c r="C14" s="21" t="s">
        <v>876</v>
      </c>
      <c r="D14" s="19" t="s">
        <v>890</v>
      </c>
    </row>
    <row r="15" customFormat="false" ht="60" hidden="false" customHeight="true" outlineLevel="0" collapsed="false">
      <c r="A15" s="5" t="n">
        <v>2</v>
      </c>
      <c r="B15" s="111" t="s">
        <v>891</v>
      </c>
      <c r="C15" s="21" t="s">
        <v>876</v>
      </c>
      <c r="D15" s="19" t="s">
        <v>892</v>
      </c>
    </row>
    <row r="16" customFormat="false" ht="30" hidden="false" customHeight="true" outlineLevel="0" collapsed="false">
      <c r="A16" s="5" t="n">
        <v>3</v>
      </c>
      <c r="B16" s="111" t="s">
        <v>893</v>
      </c>
      <c r="C16" s="21" t="s">
        <v>876</v>
      </c>
      <c r="D16" s="19" t="s">
        <v>894</v>
      </c>
    </row>
    <row r="17" customFormat="false" ht="45" hidden="false" customHeight="true" outlineLevel="0" collapsed="false">
      <c r="A17" s="5" t="n">
        <v>4</v>
      </c>
      <c r="B17" s="111" t="s">
        <v>895</v>
      </c>
      <c r="C17" s="21" t="s">
        <v>876</v>
      </c>
      <c r="D17" s="19" t="s">
        <v>896</v>
      </c>
    </row>
    <row r="18" customFormat="false" ht="30" hidden="false" customHeight="true" outlineLevel="0" collapsed="false">
      <c r="A18" s="5" t="n">
        <v>5</v>
      </c>
      <c r="B18" s="111" t="s">
        <v>897</v>
      </c>
      <c r="C18" s="21" t="s">
        <v>876</v>
      </c>
      <c r="D18" s="19" t="s">
        <v>898</v>
      </c>
    </row>
    <row r="19" customFormat="false" ht="75" hidden="false" customHeight="true" outlineLevel="0" collapsed="false">
      <c r="A19" s="5" t="n">
        <v>6</v>
      </c>
      <c r="B19" s="111" t="s">
        <v>899</v>
      </c>
      <c r="C19" s="20" t="s">
        <v>885</v>
      </c>
      <c r="D19" s="19" t="s">
        <v>900</v>
      </c>
    </row>
    <row r="20" customFormat="false" ht="45" hidden="false" customHeight="true" outlineLevel="0" collapsed="false">
      <c r="A20" s="5" t="n">
        <v>7</v>
      </c>
      <c r="B20" s="111" t="s">
        <v>901</v>
      </c>
      <c r="C20" s="21" t="s">
        <v>876</v>
      </c>
      <c r="D20" s="19" t="s">
        <v>902</v>
      </c>
    </row>
    <row r="21" customFormat="false" ht="30" hidden="false" customHeight="true" outlineLevel="0" collapsed="false">
      <c r="A21" s="5" t="n">
        <v>8</v>
      </c>
      <c r="B21" s="111" t="s">
        <v>903</v>
      </c>
      <c r="C21" s="21" t="s">
        <v>876</v>
      </c>
      <c r="D21" s="19" t="s">
        <v>904</v>
      </c>
    </row>
    <row r="22" customFormat="false" ht="105" hidden="false" customHeight="true" outlineLevel="0" collapsed="false">
      <c r="A22" s="5" t="n">
        <v>9</v>
      </c>
      <c r="B22" s="111" t="s">
        <v>905</v>
      </c>
      <c r="C22" s="20" t="s">
        <v>885</v>
      </c>
      <c r="D22" s="19" t="s">
        <v>906</v>
      </c>
    </row>
    <row r="23" customFormat="false" ht="45" hidden="false" customHeight="true" outlineLevel="0" collapsed="false">
      <c r="A23" s="5" t="n">
        <v>10</v>
      </c>
      <c r="B23" s="111" t="s">
        <v>907</v>
      </c>
      <c r="C23" s="21" t="s">
        <v>876</v>
      </c>
      <c r="D23" s="19" t="s">
        <v>908</v>
      </c>
    </row>
    <row r="25" customFormat="false" ht="15" hidden="false" customHeight="true" outlineLevel="0" collapsed="false">
      <c r="A25" s="8" t="s">
        <v>909</v>
      </c>
      <c r="B25" s="8"/>
      <c r="C25" s="8"/>
      <c r="D25" s="8"/>
    </row>
    <row r="26" customFormat="false" ht="30" hidden="false" customHeight="true" outlineLevel="0" collapsed="false">
      <c r="B26" s="112" t="s">
        <v>910</v>
      </c>
      <c r="D26" s="19" t="s">
        <v>911</v>
      </c>
    </row>
    <row r="27" customFormat="false" ht="30" hidden="false" customHeight="true" outlineLevel="0" collapsed="false">
      <c r="B27" s="112" t="s">
        <v>912</v>
      </c>
      <c r="D27" s="19" t="s">
        <v>913</v>
      </c>
    </row>
    <row r="28" customFormat="false" ht="75" hidden="false" customHeight="true" outlineLevel="0" collapsed="false">
      <c r="B28" s="112" t="s">
        <v>914</v>
      </c>
      <c r="D28" s="19" t="s">
        <v>915</v>
      </c>
    </row>
    <row r="31" customFormat="false" ht="15" hidden="false" customHeight="true" outlineLevel="0" collapsed="false">
      <c r="A31" s="8" t="s">
        <v>916</v>
      </c>
      <c r="B31" s="8"/>
      <c r="C31" s="8"/>
      <c r="D31" s="8"/>
    </row>
    <row r="32" customFormat="false" ht="15" hidden="false" customHeight="true" outlineLevel="0" collapsed="false">
      <c r="A32" s="17" t="s">
        <v>48</v>
      </c>
      <c r="B32" s="17" t="s">
        <v>888</v>
      </c>
      <c r="C32" s="17" t="s">
        <v>661</v>
      </c>
      <c r="D32" s="17" t="s">
        <v>917</v>
      </c>
    </row>
    <row r="33" customFormat="false" ht="60" hidden="false" customHeight="true" outlineLevel="0" collapsed="false">
      <c r="A33" s="5" t="n">
        <v>1</v>
      </c>
      <c r="B33" s="111" t="s">
        <v>918</v>
      </c>
      <c r="C33" s="21" t="s">
        <v>876</v>
      </c>
      <c r="D33" s="19" t="s">
        <v>919</v>
      </c>
    </row>
    <row r="34" customFormat="false" ht="60" hidden="false" customHeight="true" outlineLevel="0" collapsed="false">
      <c r="A34" s="5" t="n">
        <v>2</v>
      </c>
      <c r="B34" s="111" t="s">
        <v>920</v>
      </c>
      <c r="C34" s="21" t="s">
        <v>876</v>
      </c>
      <c r="D34" s="19" t="s">
        <v>921</v>
      </c>
    </row>
    <row r="35" customFormat="false" ht="90" hidden="false" customHeight="true" outlineLevel="0" collapsed="false">
      <c r="A35" s="5" t="n">
        <v>3</v>
      </c>
      <c r="B35" s="111" t="s">
        <v>922</v>
      </c>
      <c r="C35" s="20" t="s">
        <v>885</v>
      </c>
      <c r="D35" s="19" t="s">
        <v>923</v>
      </c>
    </row>
    <row r="36" customFormat="false" ht="60" hidden="false" customHeight="true" outlineLevel="0" collapsed="false">
      <c r="A36" s="5" t="n">
        <v>4</v>
      </c>
      <c r="B36" s="111" t="s">
        <v>924</v>
      </c>
      <c r="C36" s="21" t="s">
        <v>876</v>
      </c>
      <c r="D36" s="19" t="s">
        <v>925</v>
      </c>
    </row>
    <row r="37" customFormat="false" ht="45" hidden="false" customHeight="true" outlineLevel="0" collapsed="false">
      <c r="A37" s="5" t="n">
        <v>5</v>
      </c>
      <c r="B37" s="111" t="s">
        <v>926</v>
      </c>
      <c r="C37" s="21" t="s">
        <v>876</v>
      </c>
      <c r="D37" s="19" t="s">
        <v>927</v>
      </c>
    </row>
    <row r="38" customFormat="false" ht="105" hidden="false" customHeight="true" outlineLevel="0" collapsed="false">
      <c r="A38" s="5" t="n">
        <v>6</v>
      </c>
      <c r="B38" s="111" t="s">
        <v>928</v>
      </c>
      <c r="C38" s="18" t="s">
        <v>929</v>
      </c>
      <c r="D38" s="19" t="s">
        <v>930</v>
      </c>
    </row>
    <row r="39" customFormat="false" ht="45" hidden="false" customHeight="true" outlineLevel="0" collapsed="false">
      <c r="A39" s="5" t="n">
        <v>7</v>
      </c>
      <c r="B39" s="111" t="s">
        <v>931</v>
      </c>
      <c r="C39" s="21" t="s">
        <v>876</v>
      </c>
      <c r="D39" s="19" t="s">
        <v>932</v>
      </c>
    </row>
    <row r="41" customFormat="false" ht="90" hidden="false" customHeight="true" outlineLevel="0" collapsed="false">
      <c r="A41" s="33" t="s">
        <v>933</v>
      </c>
      <c r="B41" s="33"/>
      <c r="C41" s="33"/>
      <c r="D41" s="33"/>
    </row>
  </sheetData>
  <mergeCells count="5">
    <mergeCell ref="A4:D4"/>
    <mergeCell ref="A12:D12"/>
    <mergeCell ref="A25:D25"/>
    <mergeCell ref="A31:D31"/>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5" min="2" style="1" width="16"/>
    <col collapsed="false" customWidth="true" hidden="false" outlineLevel="0" max="6" min="6" style="1" width="44"/>
  </cols>
  <sheetData>
    <row r="1" customFormat="false" ht="17.25" hidden="false" customHeight="true" outlineLevel="0" collapsed="false">
      <c r="A1" s="2" t="s">
        <v>934</v>
      </c>
    </row>
    <row r="2" customFormat="false" ht="15" hidden="false" customHeight="true" outlineLevel="0" collapsed="false">
      <c r="A2" s="3" t="s">
        <v>935</v>
      </c>
    </row>
    <row r="4" customFormat="false" ht="15" hidden="false" customHeight="true" outlineLevel="0" collapsed="false">
      <c r="A4" s="8" t="s">
        <v>936</v>
      </c>
      <c r="B4" s="8"/>
      <c r="C4" s="8"/>
      <c r="D4" s="8"/>
      <c r="E4" s="8"/>
      <c r="F4" s="8"/>
    </row>
    <row r="5" customFormat="false" ht="15" hidden="false" customHeight="true" outlineLevel="0" collapsed="false">
      <c r="A5" s="6" t="s">
        <v>345</v>
      </c>
      <c r="B5" s="113" t="n">
        <f aca="false">'UTCL-Assumptions'!$B$6</f>
        <v>10745</v>
      </c>
    </row>
    <row r="6" customFormat="false" ht="15" hidden="false" customHeight="true" outlineLevel="0" collapsed="false">
      <c r="A6" s="6" t="s">
        <v>347</v>
      </c>
      <c r="B6" s="34" t="n">
        <f aca="false">'UTCL-Assumptions'!$B$7</f>
        <v>316633</v>
      </c>
    </row>
    <row r="7" customFormat="false" ht="15" hidden="false" customHeight="true" outlineLevel="0" collapsed="false">
      <c r="A7" s="6" t="s">
        <v>343</v>
      </c>
      <c r="B7" s="114" t="n">
        <f aca="false">'UTCL-Assumptions'!$B$5</f>
        <v>29.468</v>
      </c>
    </row>
    <row r="9" customFormat="false" ht="15" hidden="false" customHeight="true" outlineLevel="0" collapsed="false">
      <c r="A9" s="8" t="s">
        <v>937</v>
      </c>
      <c r="B9" s="8"/>
      <c r="C9" s="8"/>
      <c r="D9" s="8"/>
      <c r="E9" s="8"/>
      <c r="F9" s="8"/>
    </row>
    <row r="10" customFormat="false" ht="26.25" hidden="false" customHeight="true" outlineLevel="0" collapsed="false">
      <c r="A10" s="4" t="s">
        <v>708</v>
      </c>
      <c r="B10" s="4" t="s">
        <v>709</v>
      </c>
      <c r="C10" s="4" t="s">
        <v>938</v>
      </c>
      <c r="D10" s="4" t="s">
        <v>272</v>
      </c>
      <c r="E10" s="4" t="s">
        <v>939</v>
      </c>
      <c r="F10" s="4"/>
    </row>
    <row r="11" customFormat="false" ht="15" hidden="false" customHeight="true" outlineLevel="0" collapsed="false">
      <c r="A11" s="6" t="s">
        <v>17</v>
      </c>
      <c r="B11" s="5" t="s">
        <v>712</v>
      </c>
      <c r="C11" s="70" t="n">
        <f aca="false">'UTCL-Cost of Capital'!$B$16</f>
        <v>0.113311823425954</v>
      </c>
      <c r="D11" s="85" t="n">
        <f aca="false">'UTCL-FCFF valuation'!C15</f>
        <v>5148.18058527498</v>
      </c>
      <c r="E11" s="103" t="n">
        <f aca="false">IFERROR(D11/$B$5-1,"")</f>
        <v>-0.520876632361566</v>
      </c>
    </row>
    <row r="12" customFormat="false" ht="15" hidden="false" customHeight="true" outlineLevel="0" collapsed="false">
      <c r="A12" s="6" t="s">
        <v>19</v>
      </c>
      <c r="B12" s="5" t="s">
        <v>940</v>
      </c>
      <c r="C12" s="70" t="n">
        <f aca="false">'UTCL-Cost of Capital'!$B$17</f>
        <v>0.114586993720066</v>
      </c>
      <c r="D12" s="85" t="n">
        <f aca="false">'UTCL-CCF valuation'!C16</f>
        <v>5148.18058527497</v>
      </c>
      <c r="E12" s="103" t="n">
        <f aca="false">IFERROR(D12/$B$5-1,"")</f>
        <v>-0.520876632361566</v>
      </c>
    </row>
    <row r="13" customFormat="false" ht="15" hidden="false" customHeight="true" outlineLevel="0" collapsed="false">
      <c r="A13" s="6" t="s">
        <v>21</v>
      </c>
      <c r="B13" s="5" t="s">
        <v>940</v>
      </c>
      <c r="C13" s="70" t="n">
        <f aca="false">'UTCL-Cost of Capital'!$B$17</f>
        <v>0.114586993720066</v>
      </c>
      <c r="D13" s="85" t="n">
        <f aca="false">'UTCL-APV valuation'!C16</f>
        <v>5148.18058527497</v>
      </c>
      <c r="E13" s="103" t="n">
        <f aca="false">IFERROR(D13/$B$5-1,"")</f>
        <v>-0.520876632361566</v>
      </c>
    </row>
    <row r="14" customFormat="false" ht="15" hidden="false" customHeight="true" outlineLevel="0" collapsed="false">
      <c r="A14" s="6" t="s">
        <v>23</v>
      </c>
      <c r="B14" s="5" t="s">
        <v>748</v>
      </c>
      <c r="C14" s="70" t="n">
        <f aca="false">'UTCL-Cost of Capital'!$B$11</f>
        <v>0.116604180914822</v>
      </c>
      <c r="D14" s="85" t="n">
        <f aca="false">'UTCL-FCFE valuation'!C17</f>
        <v>5148.18058527498</v>
      </c>
      <c r="E14" s="103" t="n">
        <f aca="false">IFERROR(D14/$B$5-1,"")</f>
        <v>-0.520876632361566</v>
      </c>
    </row>
    <row r="15" customFormat="false" ht="15" hidden="false" customHeight="true" outlineLevel="0" collapsed="false">
      <c r="A15" s="6" t="s">
        <v>25</v>
      </c>
      <c r="B15" s="5" t="s">
        <v>712</v>
      </c>
      <c r="C15" s="70" t="n">
        <f aca="false">'UTCL-Cost of Capital'!$B$16</f>
        <v>0.113311823425954</v>
      </c>
      <c r="D15" s="85" t="n">
        <f aca="false">'UTCL-EVA'!C15</f>
        <v>5148.18058527497</v>
      </c>
      <c r="E15" s="103" t="n">
        <f aca="false">IFERROR(D15/$B$5-1,"")</f>
        <v>-0.520876632361566</v>
      </c>
    </row>
    <row r="16" customFormat="false" ht="15" hidden="false" customHeight="true" outlineLevel="0" collapsed="false">
      <c r="A16" s="6" t="s">
        <v>941</v>
      </c>
      <c r="D16" s="36" t="n">
        <f aca="false">IF(MAX(D11:D15)-MIN(D11:D15)&lt;0.01,D11,"CHECK RECONCILIATION")</f>
        <v>5148.18058527498</v>
      </c>
    </row>
    <row r="18" customFormat="false" ht="15" hidden="false" customHeight="true" outlineLevel="0" collapsed="false">
      <c r="A18" s="8" t="s">
        <v>942</v>
      </c>
      <c r="B18" s="8"/>
      <c r="C18" s="8"/>
      <c r="D18" s="8"/>
      <c r="E18" s="8"/>
      <c r="F18" s="8"/>
    </row>
    <row r="19" customFormat="false" ht="15" hidden="false" customHeight="true" outlineLevel="0" collapsed="false">
      <c r="A19" s="6" t="s">
        <v>943</v>
      </c>
      <c r="B19" s="34" t="n">
        <f aca="false">$B$6+'UTCL-Assumptions'!$B$46+'UTCL-Assumptions'!$B$47-'UTCL-Assumptions'!$B$39-'UTCL-Assumptions'!$B$45</f>
        <v>332264.23</v>
      </c>
    </row>
    <row r="20" customFormat="false" ht="15" hidden="false" customHeight="true" outlineLevel="0" collapsed="false">
      <c r="A20" s="6" t="s">
        <v>944</v>
      </c>
      <c r="B20" s="34" t="n">
        <f aca="false">'UTCL-FCFF valuation'!C9</f>
        <v>171426.715486883</v>
      </c>
    </row>
    <row r="21" customFormat="false" ht="15" hidden="false" customHeight="true" outlineLevel="0" collapsed="false">
      <c r="A21" s="6" t="s">
        <v>945</v>
      </c>
      <c r="B21" s="115" t="n">
        <f aca="false">$B$19/'UTCL-Source Data'!L5</f>
        <v>21.521097869033</v>
      </c>
    </row>
    <row r="22" customFormat="false" ht="15" hidden="false" customHeight="true" outlineLevel="0" collapsed="false">
      <c r="A22" s="6" t="s">
        <v>946</v>
      </c>
      <c r="B22" s="115" t="n">
        <f aca="false">$B$20/'UTCL-Source Data'!L5</f>
        <v>11.1034856847518</v>
      </c>
    </row>
    <row r="23" customFormat="false" ht="15" hidden="false" customHeight="true" outlineLevel="0" collapsed="false">
      <c r="A23" s="6" t="s">
        <v>947</v>
      </c>
      <c r="B23" s="115" t="n">
        <f aca="false">'UTCL-FCFF valuation'!C17</f>
        <v>7.68871951752449</v>
      </c>
    </row>
    <row r="24" customFormat="false" ht="15" hidden="false" customHeight="true" outlineLevel="0" collapsed="false">
      <c r="A24" s="6" t="s">
        <v>655</v>
      </c>
      <c r="B24" s="43" t="n">
        <f aca="false">'UTCL-FCFF valuation'!C16</f>
        <v>0.790510637376027</v>
      </c>
    </row>
    <row r="26" customFormat="false" ht="60" hidden="false" customHeight="true" outlineLevel="0" collapsed="false">
      <c r="A26" s="16" t="s">
        <v>948</v>
      </c>
      <c r="B26" s="16"/>
      <c r="C26" s="16"/>
      <c r="D26" s="16"/>
      <c r="E26" s="16"/>
      <c r="F26" s="16"/>
    </row>
    <row r="30" customFormat="false" ht="15" hidden="false" customHeight="true" outlineLevel="0" collapsed="false">
      <c r="A30" s="8" t="s">
        <v>949</v>
      </c>
      <c r="B30" s="8"/>
      <c r="C30" s="8"/>
      <c r="D30" s="8"/>
      <c r="E30" s="8"/>
      <c r="F30" s="8"/>
    </row>
    <row r="31" customFormat="false" ht="15" hidden="false" customHeight="true" outlineLevel="0" collapsed="false">
      <c r="A31" s="4"/>
      <c r="B31" s="4" t="s">
        <v>950</v>
      </c>
      <c r="C31" s="4" t="s">
        <v>951</v>
      </c>
      <c r="D31" s="4" t="s">
        <v>952</v>
      </c>
      <c r="E31" s="4"/>
      <c r="F31" s="4"/>
    </row>
    <row r="32" customFormat="false" ht="15" hidden="false" customHeight="true" outlineLevel="0" collapsed="false">
      <c r="A32" s="5" t="s">
        <v>953</v>
      </c>
      <c r="B32" s="32" t="n">
        <f aca="false">MIN(D11:D15)</f>
        <v>5148.18058527497</v>
      </c>
      <c r="C32" s="32" t="n">
        <f aca="false">MAX(D11:D15)</f>
        <v>5148.18058527498</v>
      </c>
      <c r="D32" s="32" t="n">
        <f aca="false">C32-B32</f>
        <v>0</v>
      </c>
    </row>
    <row r="33" customFormat="false" ht="30" hidden="false" customHeight="true" outlineLevel="0" collapsed="false">
      <c r="A33" s="5" t="s">
        <v>954</v>
      </c>
      <c r="B33" s="41" t="n">
        <v>9667.25</v>
      </c>
      <c r="C33" s="41" t="n">
        <v>14264.33</v>
      </c>
      <c r="D33" s="32" t="n">
        <f aca="false">C33-B33</f>
        <v>4597.08</v>
      </c>
      <c r="F33" s="31" t="s">
        <v>955</v>
      </c>
    </row>
    <row r="34" customFormat="false" ht="15" hidden="false" customHeight="true" outlineLevel="0" collapsed="false">
      <c r="A34" s="5" t="s">
        <v>842</v>
      </c>
      <c r="B34" s="113" t="n">
        <f aca="false">$B$5</f>
        <v>10745</v>
      </c>
    </row>
    <row r="36" customFormat="false" ht="15" hidden="false" customHeight="true" outlineLevel="0" collapsed="false">
      <c r="A36" s="8" t="s">
        <v>956</v>
      </c>
      <c r="B36" s="8"/>
      <c r="C36" s="8"/>
      <c r="D36" s="8"/>
      <c r="E36" s="8"/>
      <c r="F36" s="8"/>
    </row>
    <row r="37" customFormat="false" ht="15" hidden="false" customHeight="true" outlineLevel="0" collapsed="false">
      <c r="A37" s="105" t="s">
        <v>957</v>
      </c>
      <c r="B37" s="105"/>
      <c r="C37" s="105"/>
      <c r="D37" s="105"/>
      <c r="E37" s="105"/>
      <c r="F37" s="105"/>
    </row>
    <row r="38" customFormat="false" ht="15" hidden="false" customHeight="true" outlineLevel="0" collapsed="false">
      <c r="A38" s="105"/>
      <c r="B38" s="105"/>
      <c r="C38" s="105"/>
      <c r="D38" s="105"/>
      <c r="E38" s="105"/>
      <c r="F38" s="105"/>
    </row>
    <row r="39" customFormat="false" ht="15" hidden="false" customHeight="true" outlineLevel="0" collapsed="false">
      <c r="A39" s="105"/>
      <c r="B39" s="105"/>
      <c r="C39" s="105"/>
      <c r="D39" s="105"/>
      <c r="E39" s="105"/>
      <c r="F39" s="105"/>
    </row>
    <row r="40" customFormat="false" ht="15" hidden="false" customHeight="true" outlineLevel="0" collapsed="false">
      <c r="A40" s="105"/>
      <c r="B40" s="105"/>
      <c r="C40" s="105"/>
      <c r="D40" s="105"/>
      <c r="E40" s="105"/>
      <c r="F40" s="105"/>
    </row>
    <row r="41" customFormat="false" ht="15" hidden="false" customHeight="true" outlineLevel="0" collapsed="false">
      <c r="A41" s="105"/>
      <c r="B41" s="105"/>
      <c r="C41" s="105"/>
      <c r="D41" s="105"/>
      <c r="E41" s="105"/>
      <c r="F41" s="105"/>
    </row>
    <row r="42" customFormat="false" ht="15" hidden="false" customHeight="true" outlineLevel="0" collapsed="false">
      <c r="A42" s="105"/>
      <c r="B42" s="105"/>
      <c r="C42" s="105"/>
      <c r="D42" s="105"/>
      <c r="E42" s="105"/>
      <c r="F42" s="105"/>
    </row>
    <row r="43" customFormat="false" ht="15" hidden="false" customHeight="true" outlineLevel="0" collapsed="false">
      <c r="A43" s="105"/>
      <c r="B43" s="105"/>
      <c r="C43" s="105"/>
      <c r="D43" s="105"/>
      <c r="E43" s="105"/>
      <c r="F43" s="105"/>
    </row>
    <row r="44" customFormat="false" ht="15" hidden="false" customHeight="true" outlineLevel="0" collapsed="false">
      <c r="A44" s="105"/>
      <c r="B44" s="105"/>
      <c r="C44" s="105"/>
      <c r="D44" s="105"/>
      <c r="E44" s="105"/>
      <c r="F44" s="105"/>
    </row>
    <row r="45" customFormat="false" ht="15" hidden="false" customHeight="true" outlineLevel="0" collapsed="false">
      <c r="A45" s="105"/>
      <c r="B45" s="105"/>
      <c r="C45" s="105"/>
      <c r="D45" s="105"/>
      <c r="E45" s="105"/>
      <c r="F45" s="105"/>
    </row>
    <row r="46" customFormat="false" ht="15" hidden="false" customHeight="true" outlineLevel="0" collapsed="false">
      <c r="A46" s="105"/>
      <c r="B46" s="105"/>
      <c r="C46" s="105"/>
      <c r="D46" s="105"/>
      <c r="E46" s="105"/>
      <c r="F46" s="105"/>
    </row>
    <row r="47" customFormat="false" ht="15" hidden="false" customHeight="true" outlineLevel="0" collapsed="false">
      <c r="A47" s="105"/>
      <c r="B47" s="105"/>
      <c r="C47" s="105"/>
      <c r="D47" s="105"/>
      <c r="E47" s="105"/>
      <c r="F47" s="105"/>
    </row>
    <row r="48" customFormat="false" ht="15" hidden="false" customHeight="true" outlineLevel="0" collapsed="false">
      <c r="A48" s="105"/>
      <c r="B48" s="105"/>
      <c r="C48" s="105"/>
      <c r="D48" s="105"/>
      <c r="E48" s="105"/>
      <c r="F48" s="105"/>
    </row>
    <row r="49" customFormat="false" ht="15" hidden="false" customHeight="true" outlineLevel="0" collapsed="false">
      <c r="A49" s="105"/>
      <c r="B49" s="105"/>
      <c r="C49" s="105"/>
      <c r="D49" s="105"/>
      <c r="E49" s="105"/>
      <c r="F49" s="105"/>
    </row>
    <row r="50" customFormat="false" ht="15" hidden="false" customHeight="true" outlineLevel="0" collapsed="false">
      <c r="A50" s="105"/>
      <c r="B50" s="105"/>
      <c r="C50" s="105"/>
      <c r="D50" s="105"/>
      <c r="E50" s="105"/>
      <c r="F50" s="105"/>
    </row>
    <row r="51" customFormat="false" ht="15" hidden="false" customHeight="true" outlineLevel="0" collapsed="false">
      <c r="A51" s="105"/>
      <c r="B51" s="105"/>
      <c r="C51" s="105"/>
      <c r="D51" s="105"/>
      <c r="E51" s="105"/>
      <c r="F51" s="105"/>
    </row>
    <row r="52" customFormat="false" ht="15" hidden="false" customHeight="true" outlineLevel="0" collapsed="false">
      <c r="A52" s="105"/>
      <c r="B52" s="105"/>
      <c r="C52" s="105"/>
      <c r="D52" s="105"/>
      <c r="E52" s="105"/>
      <c r="F52" s="105"/>
    </row>
    <row r="53" customFormat="false" ht="15" hidden="false" customHeight="true" outlineLevel="0" collapsed="false">
      <c r="A53" s="105"/>
      <c r="B53" s="105"/>
      <c r="C53" s="105"/>
      <c r="D53" s="105"/>
      <c r="E53" s="105"/>
      <c r="F53" s="105"/>
    </row>
    <row r="54" customFormat="false" ht="15" hidden="false" customHeight="true" outlineLevel="0" collapsed="false">
      <c r="A54" s="105"/>
      <c r="B54" s="105"/>
      <c r="C54" s="105"/>
      <c r="D54" s="105"/>
      <c r="E54" s="105"/>
      <c r="F54" s="105"/>
    </row>
    <row r="55" customFormat="false" ht="15" hidden="false" customHeight="true" outlineLevel="0" collapsed="false">
      <c r="A55" s="105"/>
      <c r="B55" s="105"/>
      <c r="C55" s="105"/>
      <c r="D55" s="105"/>
      <c r="E55" s="105"/>
      <c r="F55" s="105"/>
    </row>
    <row r="56" customFormat="false" ht="15" hidden="false" customHeight="true" outlineLevel="0" collapsed="false">
      <c r="A56" s="105"/>
      <c r="B56" s="105"/>
      <c r="C56" s="105"/>
      <c r="D56" s="105"/>
      <c r="E56" s="105"/>
      <c r="F56" s="105"/>
    </row>
    <row r="57" customFormat="false" ht="15" hidden="false" customHeight="true" outlineLevel="0" collapsed="false">
      <c r="A57" s="105"/>
      <c r="B57" s="105"/>
      <c r="C57" s="105"/>
      <c r="D57" s="105"/>
      <c r="E57" s="105"/>
      <c r="F57" s="105"/>
    </row>
    <row r="58" customFormat="false" ht="15" hidden="false" customHeight="true" outlineLevel="0" collapsed="false">
      <c r="A58" s="105"/>
      <c r="B58" s="105"/>
      <c r="C58" s="105"/>
      <c r="D58" s="105"/>
      <c r="E58" s="105"/>
      <c r="F58" s="105"/>
    </row>
    <row r="59" customFormat="false" ht="15" hidden="false" customHeight="true" outlineLevel="0" collapsed="false">
      <c r="A59" s="105"/>
      <c r="B59" s="105"/>
      <c r="C59" s="105"/>
      <c r="D59" s="105"/>
      <c r="E59" s="105"/>
      <c r="F59" s="105"/>
    </row>
    <row r="60" customFormat="false" ht="15" hidden="false" customHeight="true" outlineLevel="0" collapsed="false">
      <c r="A60" s="105"/>
      <c r="B60" s="105"/>
      <c r="C60" s="105"/>
      <c r="D60" s="105"/>
      <c r="E60" s="105"/>
      <c r="F60" s="105"/>
    </row>
    <row r="61" customFormat="false" ht="15" hidden="false" customHeight="true" outlineLevel="0" collapsed="false">
      <c r="A61" s="105"/>
      <c r="B61" s="105"/>
      <c r="C61" s="105"/>
      <c r="D61" s="105"/>
      <c r="E61" s="105"/>
      <c r="F61" s="105"/>
    </row>
    <row r="62" customFormat="false" ht="15" hidden="false" customHeight="true" outlineLevel="0" collapsed="false">
      <c r="A62" s="105"/>
      <c r="B62" s="105"/>
      <c r="C62" s="105"/>
      <c r="D62" s="105"/>
      <c r="E62" s="105"/>
      <c r="F62" s="105"/>
    </row>
    <row r="63" customFormat="false" ht="15" hidden="false" customHeight="true" outlineLevel="0" collapsed="false">
      <c r="A63" s="105"/>
      <c r="B63" s="105"/>
      <c r="C63" s="105"/>
      <c r="D63" s="105"/>
      <c r="E63" s="105"/>
      <c r="F63" s="105"/>
    </row>
  </sheetData>
  <mergeCells count="7">
    <mergeCell ref="A4:F4"/>
    <mergeCell ref="A9:F9"/>
    <mergeCell ref="A18:F18"/>
    <mergeCell ref="A26:F26"/>
    <mergeCell ref="A30:F30"/>
    <mergeCell ref="A36:F36"/>
    <mergeCell ref="A37:F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2026-08-29T17:44:55Z</dcterms:created>
  <dc:creator>openpyxl</dc:creator>
  <dc:description/>
  <dc:language>en-US</dc:language>
  <cp:lastModifiedBy/>
  <dcterms:modified xsi:type="dcterms:W3CDTF">2026-08-30T06:46:32Z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