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Tnote\BAV\2026 Files\"/>
    </mc:Choice>
  </mc:AlternateContent>
  <xr:revisionPtr revIDLastSave="0" documentId="13_ncr:1_{7EEFF5FA-CB18-4E04-AF5F-619A5ADC4D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 s="1"/>
  <c r="J3" i="1"/>
  <c r="C6" i="1"/>
  <c r="G4" i="1"/>
  <c r="G3" i="1"/>
  <c r="G5" i="1" s="1"/>
  <c r="G6" i="1" l="1"/>
  <c r="G7" i="1" s="1"/>
  <c r="G8" i="1" s="1"/>
  <c r="C5" i="1" s="1"/>
</calcChain>
</file>

<file path=xl/sharedStrings.xml><?xml version="1.0" encoding="utf-8"?>
<sst xmlns="http://schemas.openxmlformats.org/spreadsheetml/2006/main" count="30" uniqueCount="24">
  <si>
    <t>Q1. A company has issued both secured and unsecured loans of Rs.100 million and Rs.50 million, respectively. The costs of these borrowings are 7% and 8%, respectively. The cost of equity is 12%. The expected EBIT for the first year is Rs.200 million. Assume a tax rate of 30%. Assume a perpetual growth rate of 4% and a net investment of Rs.25 million in the first year. Value the enterprise using the FCFE and CCF methods</t>
  </si>
  <si>
    <t>Secured Loan</t>
  </si>
  <si>
    <t>Unsecured Loan</t>
  </si>
  <si>
    <t>Ke</t>
  </si>
  <si>
    <t>EBIT</t>
  </si>
  <si>
    <t>tax rate</t>
  </si>
  <si>
    <t>g</t>
  </si>
  <si>
    <t>NI</t>
  </si>
  <si>
    <t>Equity</t>
  </si>
  <si>
    <t>Interest</t>
  </si>
  <si>
    <t>PBT</t>
  </si>
  <si>
    <t>Tax</t>
  </si>
  <si>
    <t>PAT</t>
  </si>
  <si>
    <t>FCFE</t>
  </si>
  <si>
    <t>WACC</t>
  </si>
  <si>
    <t>EV</t>
  </si>
  <si>
    <t xml:space="preserve">Q2. </t>
  </si>
  <si>
    <t>1 Mark</t>
  </si>
  <si>
    <t>2 Marks</t>
  </si>
  <si>
    <t>CCF</t>
  </si>
  <si>
    <t>When a firm invests in a positive NPV project, it immediately changes the cost of capital of the firm. Why</t>
  </si>
  <si>
    <t>5 Marks</t>
  </si>
  <si>
    <t>This reduces the Debt-Equity ratio and the cost of equity, and hence the cost of capital of the firm</t>
  </si>
  <si>
    <t>The equity value increases by the NPV of the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</si>
</sst>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0" fontId="0" fillId="0" borderId="0" xfId="0" applyNumberFormat="1"/>
    <xf numFmtId="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5"/>
  <sheetViews>
    <sheetView tabSelected="1" workbookViewId="0">
      <selection activeCell="C15" sqref="C15"/>
    </sheetView>
  </sheetViews>
  <sheetFormatPr defaultRowHeight="15" x14ac:dyDescent="0.25"/>
  <sheetData>
    <row r="2" spans="2:15" x14ac:dyDescent="0.25">
      <c r="B2" t="s">
        <v>0</v>
      </c>
    </row>
    <row r="3" spans="2:15" x14ac:dyDescent="0.25">
      <c r="B3" t="s">
        <v>1</v>
      </c>
      <c r="C3">
        <v>100</v>
      </c>
      <c r="D3" s="1">
        <v>7.0000000000000007E-2</v>
      </c>
      <c r="F3" t="s">
        <v>4</v>
      </c>
      <c r="G3">
        <f>C8</f>
        <v>200</v>
      </c>
      <c r="I3" t="s">
        <v>19</v>
      </c>
      <c r="J3">
        <f>G8+G4-(C3+C4)*C10</f>
        <v>118.30000000000001</v>
      </c>
      <c r="K3" s="4" t="s">
        <v>18</v>
      </c>
    </row>
    <row r="4" spans="2:15" x14ac:dyDescent="0.25">
      <c r="B4" t="s">
        <v>2</v>
      </c>
      <c r="C4">
        <v>50</v>
      </c>
      <c r="D4" s="1">
        <v>0.08</v>
      </c>
      <c r="F4" t="s">
        <v>9</v>
      </c>
      <c r="G4">
        <f>C3*D3+C4*D4</f>
        <v>11</v>
      </c>
      <c r="I4" t="s">
        <v>14</v>
      </c>
      <c r="J4">
        <f>(C3/C6)*D3+(C4/C6)*D4+(C5/C6)*C7</f>
        <v>0.11553072625698324</v>
      </c>
      <c r="K4" s="4" t="s">
        <v>18</v>
      </c>
    </row>
    <row r="5" spans="2:15" x14ac:dyDescent="0.25">
      <c r="B5" t="s">
        <v>8</v>
      </c>
      <c r="C5" s="3">
        <f>G8/(C7-C10)</f>
        <v>1416.2500000000005</v>
      </c>
      <c r="D5" s="4" t="s">
        <v>18</v>
      </c>
      <c r="F5" t="s">
        <v>10</v>
      </c>
      <c r="G5">
        <f>G3-G4</f>
        <v>189</v>
      </c>
      <c r="I5" t="s">
        <v>15</v>
      </c>
      <c r="J5">
        <f>J3/(J4-C10)</f>
        <v>1566.2500000000002</v>
      </c>
      <c r="K5" s="4" t="s">
        <v>17</v>
      </c>
    </row>
    <row r="6" spans="2:15" x14ac:dyDescent="0.25">
      <c r="B6" t="s">
        <v>15</v>
      </c>
      <c r="C6">
        <f>SUM(C3:C5)</f>
        <v>1566.2500000000005</v>
      </c>
      <c r="F6" t="s">
        <v>11</v>
      </c>
      <c r="G6">
        <f>G5*C9</f>
        <v>56.699999999999996</v>
      </c>
    </row>
    <row r="7" spans="2:15" x14ac:dyDescent="0.25">
      <c r="B7" t="s">
        <v>3</v>
      </c>
      <c r="C7" s="1">
        <v>0.12</v>
      </c>
      <c r="F7" t="s">
        <v>12</v>
      </c>
      <c r="G7">
        <f>G5-G6</f>
        <v>132.30000000000001</v>
      </c>
      <c r="H7" s="4" t="s">
        <v>18</v>
      </c>
    </row>
    <row r="8" spans="2:15" x14ac:dyDescent="0.25">
      <c r="B8" t="s">
        <v>4</v>
      </c>
      <c r="C8">
        <v>200</v>
      </c>
      <c r="F8" t="s">
        <v>13</v>
      </c>
      <c r="G8">
        <f>G7-C11+(C3+C4)*C10</f>
        <v>113.30000000000001</v>
      </c>
      <c r="H8" s="4" t="s">
        <v>17</v>
      </c>
    </row>
    <row r="9" spans="2:15" x14ac:dyDescent="0.25">
      <c r="B9" t="s">
        <v>5</v>
      </c>
      <c r="C9" s="1">
        <v>0.3</v>
      </c>
    </row>
    <row r="10" spans="2:15" x14ac:dyDescent="0.25">
      <c r="B10" t="s">
        <v>6</v>
      </c>
      <c r="C10" s="1">
        <v>0.04</v>
      </c>
    </row>
    <row r="11" spans="2:15" x14ac:dyDescent="0.25">
      <c r="B11" t="s">
        <v>7</v>
      </c>
      <c r="C11" s="2">
        <v>25</v>
      </c>
    </row>
    <row r="13" spans="2:15" ht="15.75" x14ac:dyDescent="0.25">
      <c r="B13" t="s">
        <v>16</v>
      </c>
      <c r="C13" s="5" t="s">
        <v>20</v>
      </c>
      <c r="O13" s="4" t="s">
        <v>21</v>
      </c>
    </row>
    <row r="14" spans="2:15" x14ac:dyDescent="0.25">
      <c r="C14" t="s">
        <v>23</v>
      </c>
    </row>
    <row r="15" spans="2:15" x14ac:dyDescent="0.25">
      <c r="C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Pitabas Mohanty</cp:lastModifiedBy>
  <dcterms:created xsi:type="dcterms:W3CDTF">2015-06-05T18:17:20Z</dcterms:created>
  <dcterms:modified xsi:type="dcterms:W3CDTF">2026-07-21T06:04:56Z</dcterms:modified>
</cp:coreProperties>
</file>