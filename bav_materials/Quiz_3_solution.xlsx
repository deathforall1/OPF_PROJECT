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Tnote\BAV\2025 Files\"/>
    </mc:Choice>
  </mc:AlternateContent>
  <xr:revisionPtr revIDLastSave="0" documentId="13_ncr:1_{2A70811B-40C6-4BEA-AE44-6DD04B08D6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F7" i="1"/>
  <c r="F4" i="1"/>
</calcChain>
</file>

<file path=xl/sharedStrings.xml><?xml version="1.0" encoding="utf-8"?>
<sst xmlns="http://schemas.openxmlformats.org/spreadsheetml/2006/main" count="35" uniqueCount="29">
  <si>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Maura Lartin made the following projections for the terminal year while valuing a company.</t>
    </r>
  </si>
  <si>
    <t>NOPAT: $100 million</t>
  </si>
  <si>
    <t>Net Investment: $0</t>
  </si>
  <si>
    <t>Terminal EBITDA Multiple: 9</t>
  </si>
  <si>
    <t>WACC: 10%</t>
  </si>
  <si>
    <t>EBITDA: $130 million</t>
  </si>
  <si>
    <t>ROIC: 12%</t>
  </si>
  <si>
    <t xml:space="preserve">What mistake did Maura make in the above projections? Find the correct terminal value. Ignore the circularity that arises. </t>
  </si>
  <si>
    <t>TV</t>
  </si>
  <si>
    <t>NOPAT</t>
  </si>
  <si>
    <t>NI</t>
  </si>
  <si>
    <t>FCF</t>
  </si>
  <si>
    <t>EBITDA</t>
  </si>
  <si>
    <t>EBITDA Multiple</t>
  </si>
  <si>
    <t>WACC</t>
  </si>
  <si>
    <t>Implied terminal g</t>
  </si>
  <si>
    <t>Implied IR</t>
  </si>
  <si>
    <t>ROIC</t>
  </si>
  <si>
    <t>Correct NI</t>
  </si>
  <si>
    <t>Correct FCF</t>
  </si>
  <si>
    <t>Correct TV</t>
  </si>
  <si>
    <t>Mistake: NI cannot be 0 when the terminal growth rate positive.</t>
  </si>
  <si>
    <t>2 Marks</t>
  </si>
  <si>
    <t>1 Mark</t>
  </si>
  <si>
    <t>Why do we add back depreciation and amortization alone while computing the gross cash flow?</t>
  </si>
  <si>
    <t>Capex is defined as change in NFA + Depreciation &amp; Amortization</t>
  </si>
  <si>
    <t xml:space="preserve">However, increase in Cash (FCF) requires change in NFA to be subtracted. </t>
  </si>
  <si>
    <t xml:space="preserve">Since we add depreciation and amortization while computing Capex, we add depreciation to FCF to cancel the effect of depreciation and amortization. </t>
  </si>
  <si>
    <t>5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</si>
</sst>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vertical="center"/>
    </xf>
    <xf numFmtId="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N17" sqref="N17"/>
    </sheetView>
  </sheetViews>
  <sheetFormatPr defaultRowHeight="15" x14ac:dyDescent="0.25"/>
  <sheetData>
    <row r="1" spans="1:16" ht="15.75" x14ac:dyDescent="0.25">
      <c r="A1" s="2" t="s">
        <v>0</v>
      </c>
    </row>
    <row r="2" spans="1:16" ht="15.75" x14ac:dyDescent="0.25">
      <c r="A2" s="3" t="s">
        <v>1</v>
      </c>
      <c r="E2" t="s">
        <v>9</v>
      </c>
      <c r="F2">
        <v>100</v>
      </c>
    </row>
    <row r="3" spans="1:16" ht="15.75" x14ac:dyDescent="0.25">
      <c r="A3" s="3" t="s">
        <v>2</v>
      </c>
      <c r="E3" t="s">
        <v>10</v>
      </c>
      <c r="F3">
        <v>0</v>
      </c>
    </row>
    <row r="4" spans="1:16" ht="15.75" x14ac:dyDescent="0.25">
      <c r="A4" s="3" t="s">
        <v>3</v>
      </c>
      <c r="E4" t="s">
        <v>11</v>
      </c>
      <c r="F4">
        <f>F2-F3</f>
        <v>100</v>
      </c>
      <c r="G4" s="5" t="s">
        <v>23</v>
      </c>
      <c r="I4" t="s">
        <v>21</v>
      </c>
      <c r="P4" s="5" t="s">
        <v>22</v>
      </c>
    </row>
    <row r="5" spans="1:16" ht="15.75" x14ac:dyDescent="0.25">
      <c r="A5" s="3" t="s">
        <v>4</v>
      </c>
      <c r="E5" t="s">
        <v>12</v>
      </c>
      <c r="F5">
        <v>130</v>
      </c>
    </row>
    <row r="6" spans="1:16" ht="15.75" x14ac:dyDescent="0.25">
      <c r="A6" s="3" t="s">
        <v>5</v>
      </c>
      <c r="E6" t="s">
        <v>13</v>
      </c>
      <c r="F6">
        <v>9</v>
      </c>
    </row>
    <row r="7" spans="1:16" ht="15.75" x14ac:dyDescent="0.25">
      <c r="A7" s="3" t="s">
        <v>6</v>
      </c>
      <c r="E7" t="s">
        <v>8</v>
      </c>
      <c r="F7">
        <f>F6*F5</f>
        <v>1170</v>
      </c>
      <c r="G7" s="5" t="s">
        <v>23</v>
      </c>
    </row>
    <row r="8" spans="1:16" ht="15.75" x14ac:dyDescent="0.25">
      <c r="A8" s="1" t="s">
        <v>7</v>
      </c>
      <c r="E8" t="s">
        <v>14</v>
      </c>
      <c r="F8" s="4">
        <v>0.1</v>
      </c>
    </row>
    <row r="9" spans="1:16" x14ac:dyDescent="0.25">
      <c r="E9" t="s">
        <v>17</v>
      </c>
      <c r="F9" s="4">
        <v>0.12</v>
      </c>
    </row>
    <row r="10" spans="1:16" ht="15.75" x14ac:dyDescent="0.25">
      <c r="A10" s="3" t="s">
        <v>15</v>
      </c>
      <c r="D10">
        <f>(F7*F8-F4)/(F7+F4)</f>
        <v>1.3385826771653543E-2</v>
      </c>
      <c r="E10" s="5" t="s">
        <v>23</v>
      </c>
    </row>
    <row r="11" spans="1:16" ht="15.75" x14ac:dyDescent="0.25">
      <c r="A11" s="3" t="s">
        <v>16</v>
      </c>
      <c r="D11">
        <f>D10/F9</f>
        <v>0.1115485564304462</v>
      </c>
      <c r="E11" s="5" t="s">
        <v>23</v>
      </c>
    </row>
    <row r="12" spans="1:16" ht="15.75" x14ac:dyDescent="0.25">
      <c r="A12" s="3" t="s">
        <v>18</v>
      </c>
      <c r="D12">
        <f>F2*D11</f>
        <v>11.15485564304462</v>
      </c>
      <c r="E12" s="5" t="s">
        <v>22</v>
      </c>
    </row>
    <row r="13" spans="1:16" ht="15.75" x14ac:dyDescent="0.25">
      <c r="A13" s="3" t="s">
        <v>19</v>
      </c>
      <c r="D13">
        <f>F2-D12</f>
        <v>88.845144356955387</v>
      </c>
      <c r="E13" s="5" t="s">
        <v>23</v>
      </c>
    </row>
    <row r="14" spans="1:16" ht="15.75" x14ac:dyDescent="0.25">
      <c r="A14" s="3" t="s">
        <v>20</v>
      </c>
      <c r="D14">
        <f>D13*(1+D10)/(F8-D10)</f>
        <v>1039.4881889763778</v>
      </c>
      <c r="E14" s="5" t="s">
        <v>23</v>
      </c>
    </row>
    <row r="17" spans="1:14" ht="15.75" x14ac:dyDescent="0.25">
      <c r="A17">
        <v>2</v>
      </c>
      <c r="B17" s="1" t="s">
        <v>24</v>
      </c>
      <c r="N17" s="5" t="s">
        <v>28</v>
      </c>
    </row>
    <row r="18" spans="1:14" x14ac:dyDescent="0.25">
      <c r="B18" t="s">
        <v>25</v>
      </c>
    </row>
    <row r="19" spans="1:14" x14ac:dyDescent="0.25">
      <c r="B19" t="s">
        <v>26</v>
      </c>
    </row>
    <row r="20" spans="1:14" x14ac:dyDescent="0.25">
      <c r="B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Pitabas Mohanty</cp:lastModifiedBy>
  <dcterms:created xsi:type="dcterms:W3CDTF">2015-06-05T18:17:20Z</dcterms:created>
  <dcterms:modified xsi:type="dcterms:W3CDTF">2025-08-16T09:12:49Z</dcterms:modified>
</cp:coreProperties>
</file>